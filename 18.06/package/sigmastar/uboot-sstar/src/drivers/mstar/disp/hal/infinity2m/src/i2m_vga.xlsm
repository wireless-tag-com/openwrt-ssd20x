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V:\git\i2m\alkaid\sdk\mhal\i2m\disp\hal\infinity2m\src\"/>
    </mc:Choice>
  </mc:AlternateContent>
  <bookViews>
    <workbookView xWindow="0" yWindow="0" windowWidth="28800" windowHeight="12975" tabRatio="914"/>
  </bookViews>
  <sheets>
    <sheet name="Main" sheetId="1" r:id="rId1"/>
    <sheet name="480_60P" sheetId="60" r:id="rId2"/>
    <sheet name="576_50P" sheetId="72" r:id="rId3"/>
    <sheet name="720_50P" sheetId="63" r:id="rId4"/>
    <sheet name="720_60P" sheetId="61" r:id="rId5"/>
    <sheet name="1080_24P" sheetId="73" r:id="rId6"/>
    <sheet name="1080_25P" sheetId="74" r:id="rId7"/>
    <sheet name="1080_30P" sheetId="62" r:id="rId8"/>
    <sheet name="1080_50P" sheetId="64" r:id="rId9"/>
    <sheet name="1080_60P" sheetId="51" r:id="rId10"/>
    <sheet name="1024x768_60P" sheetId="65" r:id="rId11"/>
    <sheet name="1280x800_60P" sheetId="69" r:id="rId12"/>
    <sheet name="1280x1024_60P" sheetId="66" r:id="rId13"/>
    <sheet name="1366x768_60P" sheetId="67" r:id="rId14"/>
    <sheet name="1440x900_60P" sheetId="68" r:id="rId15"/>
    <sheet name="1680x1050_60P" sheetId="70" r:id="rId16"/>
    <sheet name="1600x1200_60P" sheetId="71" r:id="rId17"/>
    <sheet name="EndOfSheet" sheetId="3" r:id="rId18"/>
    <sheet name="IP_Type" sheetId="5" r:id="rId19"/>
    <sheet name="TimingSupport" sheetId="42" r:id="rId20"/>
  </sheets>
  <functionGroups builtInGroupCount="18"/>
  <calcPr calcId="152511"/>
</workbook>
</file>

<file path=xl/calcChain.xml><?xml version="1.0" encoding="utf-8"?>
<calcChain xmlns="http://schemas.openxmlformats.org/spreadsheetml/2006/main">
  <c r="I63" i="72" l="1"/>
  <c r="I63" i="63"/>
  <c r="I63" i="61"/>
  <c r="I63" i="73"/>
  <c r="I63" i="74"/>
  <c r="I63" i="62"/>
  <c r="I63" i="64"/>
  <c r="I63" i="51"/>
  <c r="I63" i="65"/>
  <c r="I63" i="69"/>
  <c r="I63" i="66"/>
  <c r="I63" i="67"/>
  <c r="I63" i="68"/>
  <c r="I63" i="70"/>
  <c r="I63" i="71"/>
  <c r="I63" i="60"/>
  <c r="I62" i="72"/>
  <c r="I62" i="63"/>
  <c r="I62" i="61"/>
  <c r="I62" i="73"/>
  <c r="I62" i="74"/>
  <c r="I62" i="62"/>
  <c r="I62" i="64"/>
  <c r="I62" i="51"/>
  <c r="I62" i="65"/>
  <c r="I62" i="69"/>
  <c r="I62" i="66"/>
  <c r="I62" i="67"/>
  <c r="I62" i="68"/>
  <c r="I62" i="70"/>
  <c r="I62" i="71"/>
  <c r="I62" i="60"/>
  <c r="M34" i="72" l="1"/>
  <c r="M34" i="63"/>
  <c r="M34" i="61"/>
  <c r="M34" i="73"/>
  <c r="M34" i="74"/>
  <c r="M34" i="62"/>
  <c r="M34" i="64"/>
  <c r="M34" i="51"/>
  <c r="M34" i="65"/>
  <c r="M34" i="69"/>
  <c r="M34" i="66"/>
  <c r="M34" i="67"/>
  <c r="M34" i="68"/>
  <c r="M34" i="70"/>
  <c r="M34" i="71"/>
  <c r="M34" i="60"/>
  <c r="M40" i="60"/>
  <c r="M41" i="60" s="1"/>
  <c r="K42" i="60" s="1"/>
  <c r="M40" i="72"/>
  <c r="M41" i="72" s="1"/>
  <c r="K42" i="72" s="1"/>
  <c r="M40" i="63"/>
  <c r="M41" i="63" s="1"/>
  <c r="K42" i="63" s="1"/>
  <c r="M40" i="61"/>
  <c r="M41" i="61" s="1"/>
  <c r="K42" i="61" s="1"/>
  <c r="M40" i="74"/>
  <c r="M41" i="74" s="1"/>
  <c r="K42" i="74" s="1"/>
  <c r="M40" i="62"/>
  <c r="M41" i="62" s="1"/>
  <c r="K42" i="62" s="1"/>
  <c r="M40" i="64"/>
  <c r="M41" i="64" s="1"/>
  <c r="K42" i="64" s="1"/>
  <c r="M40" i="51"/>
  <c r="M41" i="51" s="1"/>
  <c r="K42" i="51" s="1"/>
  <c r="M40" i="65"/>
  <c r="M41" i="65" s="1"/>
  <c r="K42" i="65" s="1"/>
  <c r="M40" i="69"/>
  <c r="M41" i="69" s="1"/>
  <c r="K42" i="69" s="1"/>
  <c r="M40" i="66"/>
  <c r="M41" i="66" s="1"/>
  <c r="K42" i="66" s="1"/>
  <c r="M40" i="67"/>
  <c r="M41" i="67" s="1"/>
  <c r="K42" i="67" s="1"/>
  <c r="M40" i="68"/>
  <c r="M41" i="68" s="1"/>
  <c r="K42" i="68" s="1"/>
  <c r="M40" i="70"/>
  <c r="M41" i="70" s="1"/>
  <c r="K42" i="70" s="1"/>
  <c r="M40" i="71"/>
  <c r="M41" i="71" s="1"/>
  <c r="K42" i="71" s="1"/>
  <c r="M40" i="73"/>
  <c r="M41" i="73" s="1"/>
  <c r="K42" i="73" s="1"/>
  <c r="M39" i="60"/>
  <c r="M39" i="72"/>
  <c r="M39" i="63"/>
  <c r="N39" i="63" s="1"/>
  <c r="J40" i="63" s="1"/>
  <c r="I40" i="63" s="1"/>
  <c r="M39" i="61"/>
  <c r="M39" i="73"/>
  <c r="M39" i="74"/>
  <c r="M39" i="62"/>
  <c r="N39" i="62" s="1"/>
  <c r="J40" i="62" s="1"/>
  <c r="I40" i="62" s="1"/>
  <c r="M39" i="64"/>
  <c r="M39" i="51"/>
  <c r="M39" i="69"/>
  <c r="N39" i="69" s="1"/>
  <c r="J40" i="69" s="1"/>
  <c r="I40" i="69" s="1"/>
  <c r="M39" i="66"/>
  <c r="N39" i="66" s="1"/>
  <c r="M39" i="67"/>
  <c r="M39" i="68"/>
  <c r="N39" i="68" s="1"/>
  <c r="M39" i="70"/>
  <c r="N39" i="70" s="1"/>
  <c r="J40" i="70" s="1"/>
  <c r="I40" i="70" s="1"/>
  <c r="M39" i="71"/>
  <c r="N39" i="71" s="1"/>
  <c r="M39" i="65"/>
  <c r="N39" i="65" s="1"/>
  <c r="N39" i="74" l="1"/>
  <c r="N39" i="72"/>
  <c r="N39" i="64"/>
  <c r="J39" i="64" s="1"/>
  <c r="I39" i="64" s="1"/>
  <c r="N39" i="61"/>
  <c r="J39" i="61" s="1"/>
  <c r="I39" i="61" s="1"/>
  <c r="N39" i="73"/>
  <c r="J41" i="73" s="1"/>
  <c r="I41" i="73" s="1"/>
  <c r="N39" i="51"/>
  <c r="J40" i="51" s="1"/>
  <c r="I40" i="51" s="1"/>
  <c r="N39" i="67"/>
  <c r="J41" i="67" s="1"/>
  <c r="I41" i="67" s="1"/>
  <c r="N39" i="60"/>
  <c r="J40" i="60" s="1"/>
  <c r="I40" i="60" s="1"/>
  <c r="K39" i="73"/>
  <c r="J40" i="74"/>
  <c r="I40" i="74" s="1"/>
  <c r="J39" i="74"/>
  <c r="I39" i="74" s="1"/>
  <c r="K39" i="74"/>
  <c r="J41" i="74"/>
  <c r="I41" i="74" s="1"/>
  <c r="J40" i="72"/>
  <c r="I40" i="72" s="1"/>
  <c r="J41" i="72"/>
  <c r="I41" i="72" s="1"/>
  <c r="J39" i="72"/>
  <c r="I39" i="72" s="1"/>
  <c r="K39" i="72"/>
  <c r="J40" i="68"/>
  <c r="I40" i="68" s="1"/>
  <c r="J41" i="68"/>
  <c r="I41" i="68" s="1"/>
  <c r="J39" i="68"/>
  <c r="I39" i="68" s="1"/>
  <c r="K39" i="68"/>
  <c r="J40" i="65"/>
  <c r="I40" i="65" s="1"/>
  <c r="J39" i="65"/>
  <c r="I39" i="65" s="1"/>
  <c r="K39" i="65"/>
  <c r="J41" i="65"/>
  <c r="I41" i="65" s="1"/>
  <c r="J41" i="64"/>
  <c r="I41" i="64" s="1"/>
  <c r="J40" i="71"/>
  <c r="I40" i="71" s="1"/>
  <c r="J41" i="71"/>
  <c r="I41" i="71" s="1"/>
  <c r="J39" i="71"/>
  <c r="I39" i="71" s="1"/>
  <c r="K39" i="71"/>
  <c r="J40" i="66"/>
  <c r="I40" i="66" s="1"/>
  <c r="J41" i="66"/>
  <c r="I41" i="66" s="1"/>
  <c r="J39" i="66"/>
  <c r="I39" i="66" s="1"/>
  <c r="K39" i="66"/>
  <c r="K39" i="70"/>
  <c r="K39" i="63"/>
  <c r="J39" i="62"/>
  <c r="I39" i="62" s="1"/>
  <c r="K39" i="69"/>
  <c r="J39" i="70"/>
  <c r="I39" i="70" s="1"/>
  <c r="J39" i="63"/>
  <c r="I39" i="63" s="1"/>
  <c r="J41" i="63"/>
  <c r="I41" i="63" s="1"/>
  <c r="J41" i="62"/>
  <c r="I41" i="62" s="1"/>
  <c r="J41" i="69"/>
  <c r="I41" i="69" s="1"/>
  <c r="J41" i="70"/>
  <c r="I41" i="70" s="1"/>
  <c r="K39" i="62"/>
  <c r="J39" i="69"/>
  <c r="I39" i="69" s="1"/>
  <c r="K111" i="74"/>
  <c r="J112" i="74" s="1"/>
  <c r="I112" i="74" s="1"/>
  <c r="K109" i="74"/>
  <c r="J109" i="74" s="1"/>
  <c r="I109" i="74" s="1"/>
  <c r="K107" i="74"/>
  <c r="J107" i="74" s="1"/>
  <c r="I107" i="74" s="1"/>
  <c r="K105" i="74"/>
  <c r="J105" i="74" s="1"/>
  <c r="I105" i="74" s="1"/>
  <c r="K103" i="74"/>
  <c r="J104" i="74" s="1"/>
  <c r="I104" i="74" s="1"/>
  <c r="J102" i="74"/>
  <c r="I102" i="74" s="1"/>
  <c r="J101" i="74"/>
  <c r="I101" i="74" s="1"/>
  <c r="K94" i="74"/>
  <c r="J94" i="74" s="1"/>
  <c r="I94" i="74" s="1"/>
  <c r="K92" i="74"/>
  <c r="J92" i="74" s="1"/>
  <c r="I92" i="74" s="1"/>
  <c r="K90" i="74"/>
  <c r="J91" i="74" s="1"/>
  <c r="I91" i="74" s="1"/>
  <c r="K88" i="74"/>
  <c r="J89" i="74" s="1"/>
  <c r="I89" i="74" s="1"/>
  <c r="K86" i="74"/>
  <c r="J86" i="74" s="1"/>
  <c r="I86" i="74" s="1"/>
  <c r="K84" i="74"/>
  <c r="J84" i="74" s="1"/>
  <c r="I84" i="74" s="1"/>
  <c r="K82" i="74"/>
  <c r="J82" i="74" s="1"/>
  <c r="I82" i="74" s="1"/>
  <c r="K80" i="74"/>
  <c r="J81" i="74" s="1"/>
  <c r="I81" i="74" s="1"/>
  <c r="K78" i="74"/>
  <c r="J78" i="74" s="1"/>
  <c r="I78" i="74" s="1"/>
  <c r="J77" i="74"/>
  <c r="I77" i="74" s="1"/>
  <c r="J76" i="74"/>
  <c r="I76" i="74" s="1"/>
  <c r="K74" i="74"/>
  <c r="J74" i="74" s="1"/>
  <c r="I74" i="74" s="1"/>
  <c r="O73" i="74"/>
  <c r="J73" i="74"/>
  <c r="I73" i="74" s="1"/>
  <c r="J72" i="74"/>
  <c r="I72" i="74" s="1"/>
  <c r="O70" i="74"/>
  <c r="K70" i="74"/>
  <c r="J71" i="74" s="1"/>
  <c r="I71" i="74" s="1"/>
  <c r="K68" i="74"/>
  <c r="J69" i="74" s="1"/>
  <c r="I69" i="74" s="1"/>
  <c r="K111" i="73"/>
  <c r="J112" i="73" s="1"/>
  <c r="I112" i="73" s="1"/>
  <c r="K109" i="73"/>
  <c r="J109" i="73" s="1"/>
  <c r="I109" i="73" s="1"/>
  <c r="K107" i="73"/>
  <c r="J107" i="73" s="1"/>
  <c r="I107" i="73" s="1"/>
  <c r="K105" i="73"/>
  <c r="J105" i="73" s="1"/>
  <c r="I105" i="73" s="1"/>
  <c r="K103" i="73"/>
  <c r="J104" i="73" s="1"/>
  <c r="I104" i="73" s="1"/>
  <c r="J102" i="73"/>
  <c r="I102" i="73" s="1"/>
  <c r="J101" i="73"/>
  <c r="I101" i="73" s="1"/>
  <c r="K94" i="73"/>
  <c r="J94" i="73" s="1"/>
  <c r="I94" i="73" s="1"/>
  <c r="K92" i="73"/>
  <c r="J92" i="73" s="1"/>
  <c r="I92" i="73" s="1"/>
  <c r="K90" i="73"/>
  <c r="J90" i="73" s="1"/>
  <c r="I90" i="73" s="1"/>
  <c r="K88" i="73"/>
  <c r="J89" i="73" s="1"/>
  <c r="I89" i="73" s="1"/>
  <c r="K86" i="73"/>
  <c r="J86" i="73" s="1"/>
  <c r="I86" i="73" s="1"/>
  <c r="K84" i="73"/>
  <c r="J84" i="73" s="1"/>
  <c r="I84" i="73" s="1"/>
  <c r="K82" i="73"/>
  <c r="J82" i="73" s="1"/>
  <c r="I82" i="73" s="1"/>
  <c r="K80" i="73"/>
  <c r="J81" i="73" s="1"/>
  <c r="I81" i="73" s="1"/>
  <c r="K78" i="73"/>
  <c r="J78" i="73" s="1"/>
  <c r="I78" i="73" s="1"/>
  <c r="J77" i="73"/>
  <c r="I77" i="73" s="1"/>
  <c r="J76" i="73"/>
  <c r="I76" i="73" s="1"/>
  <c r="K74" i="73"/>
  <c r="J74" i="73" s="1"/>
  <c r="I74" i="73" s="1"/>
  <c r="O73" i="73"/>
  <c r="J73" i="73"/>
  <c r="I73" i="73" s="1"/>
  <c r="J72" i="73"/>
  <c r="I72" i="73" s="1"/>
  <c r="O70" i="73"/>
  <c r="K70" i="73"/>
  <c r="J71" i="73" s="1"/>
  <c r="I71" i="73" s="1"/>
  <c r="K68" i="73"/>
  <c r="J69" i="73" s="1"/>
  <c r="I69" i="73" s="1"/>
  <c r="K111" i="72"/>
  <c r="J112" i="72" s="1"/>
  <c r="I112" i="72" s="1"/>
  <c r="K109" i="72"/>
  <c r="J109" i="72" s="1"/>
  <c r="I109" i="72" s="1"/>
  <c r="K107" i="72"/>
  <c r="J107" i="72" s="1"/>
  <c r="I107" i="72" s="1"/>
  <c r="K105" i="72"/>
  <c r="J106" i="72" s="1"/>
  <c r="I106" i="72" s="1"/>
  <c r="K103" i="72"/>
  <c r="J104" i="72" s="1"/>
  <c r="I104" i="72" s="1"/>
  <c r="J102" i="72"/>
  <c r="I102" i="72" s="1"/>
  <c r="J101" i="72"/>
  <c r="I101" i="72" s="1"/>
  <c r="K94" i="72"/>
  <c r="J94" i="72" s="1"/>
  <c r="I94" i="72" s="1"/>
  <c r="K92" i="72"/>
  <c r="J92" i="72" s="1"/>
  <c r="I92" i="72" s="1"/>
  <c r="K90" i="72"/>
  <c r="J90" i="72" s="1"/>
  <c r="I90" i="72" s="1"/>
  <c r="K88" i="72"/>
  <c r="J89" i="72" s="1"/>
  <c r="I89" i="72" s="1"/>
  <c r="K86" i="72"/>
  <c r="J86" i="72" s="1"/>
  <c r="I86" i="72" s="1"/>
  <c r="K84" i="72"/>
  <c r="J84" i="72" s="1"/>
  <c r="I84" i="72" s="1"/>
  <c r="K82" i="72"/>
  <c r="J83" i="72" s="1"/>
  <c r="I83" i="72" s="1"/>
  <c r="K80" i="72"/>
  <c r="J81" i="72" s="1"/>
  <c r="I81" i="72" s="1"/>
  <c r="K78" i="72"/>
  <c r="J78" i="72" s="1"/>
  <c r="I78" i="72" s="1"/>
  <c r="J77" i="72"/>
  <c r="I77" i="72" s="1"/>
  <c r="J76" i="72"/>
  <c r="I76" i="72" s="1"/>
  <c r="K74" i="72"/>
  <c r="J74" i="72" s="1"/>
  <c r="I74" i="72" s="1"/>
  <c r="O73" i="72"/>
  <c r="J73" i="72"/>
  <c r="I73" i="72" s="1"/>
  <c r="J72" i="72"/>
  <c r="I72" i="72" s="1"/>
  <c r="O70" i="72"/>
  <c r="K70" i="72"/>
  <c r="J71" i="72" s="1"/>
  <c r="I71" i="72" s="1"/>
  <c r="K68" i="72"/>
  <c r="J68" i="72" s="1"/>
  <c r="I68" i="72" s="1"/>
  <c r="J40" i="64" l="1"/>
  <c r="I40" i="64" s="1"/>
  <c r="K39" i="67"/>
  <c r="J41" i="61"/>
  <c r="I41" i="61" s="1"/>
  <c r="J39" i="67"/>
  <c r="I39" i="67" s="1"/>
  <c r="J40" i="61"/>
  <c r="I40" i="61" s="1"/>
  <c r="K39" i="61"/>
  <c r="K39" i="64"/>
  <c r="J41" i="60"/>
  <c r="I41" i="60" s="1"/>
  <c r="J40" i="67"/>
  <c r="I40" i="67" s="1"/>
  <c r="K39" i="51"/>
  <c r="J40" i="73"/>
  <c r="I40" i="73" s="1"/>
  <c r="J39" i="73"/>
  <c r="I39" i="73" s="1"/>
  <c r="J39" i="51"/>
  <c r="I39" i="51" s="1"/>
  <c r="J41" i="51"/>
  <c r="I41" i="51" s="1"/>
  <c r="J83" i="73"/>
  <c r="I83" i="73" s="1"/>
  <c r="K39" i="60"/>
  <c r="J39" i="60"/>
  <c r="I39" i="60" s="1"/>
  <c r="J68" i="73"/>
  <c r="I68" i="73" s="1"/>
  <c r="J90" i="74"/>
  <c r="I90" i="74" s="1"/>
  <c r="J83" i="74"/>
  <c r="I83" i="74" s="1"/>
  <c r="J91" i="73"/>
  <c r="I91" i="73" s="1"/>
  <c r="J106" i="73"/>
  <c r="I106" i="73" s="1"/>
  <c r="J75" i="74"/>
  <c r="I75" i="74" s="1"/>
  <c r="J80" i="72"/>
  <c r="I80" i="72" s="1"/>
  <c r="J93" i="72"/>
  <c r="I93" i="72" s="1"/>
  <c r="J103" i="72"/>
  <c r="I103" i="72" s="1"/>
  <c r="J75" i="72"/>
  <c r="I75" i="72" s="1"/>
  <c r="J85" i="74"/>
  <c r="I85" i="74" s="1"/>
  <c r="J93" i="74"/>
  <c r="I93" i="74" s="1"/>
  <c r="J103" i="74"/>
  <c r="I103" i="74" s="1"/>
  <c r="J108" i="74"/>
  <c r="I108" i="74" s="1"/>
  <c r="J111" i="73"/>
  <c r="I111" i="73" s="1"/>
  <c r="J75" i="73"/>
  <c r="I75" i="73" s="1"/>
  <c r="J85" i="73"/>
  <c r="I85" i="73" s="1"/>
  <c r="J93" i="73"/>
  <c r="I93" i="73" s="1"/>
  <c r="J80" i="74"/>
  <c r="I80" i="74" s="1"/>
  <c r="J88" i="74"/>
  <c r="I88" i="74" s="1"/>
  <c r="J106" i="74"/>
  <c r="I106" i="74" s="1"/>
  <c r="J82" i="72"/>
  <c r="I82" i="72" s="1"/>
  <c r="J88" i="72"/>
  <c r="I88" i="72" s="1"/>
  <c r="J103" i="73"/>
  <c r="I103" i="73" s="1"/>
  <c r="J108" i="73"/>
  <c r="I108" i="73" s="1"/>
  <c r="J68" i="74"/>
  <c r="I68" i="74" s="1"/>
  <c r="J111" i="74"/>
  <c r="I111" i="74" s="1"/>
  <c r="J105" i="72"/>
  <c r="I105" i="72" s="1"/>
  <c r="J80" i="73"/>
  <c r="I80" i="73" s="1"/>
  <c r="J88" i="73"/>
  <c r="I88" i="73" s="1"/>
  <c r="J79" i="74"/>
  <c r="I79" i="74" s="1"/>
  <c r="J95" i="74"/>
  <c r="I95" i="74" s="1"/>
  <c r="J110" i="74"/>
  <c r="I110" i="74" s="1"/>
  <c r="J87" i="74"/>
  <c r="I87" i="74" s="1"/>
  <c r="J70" i="74"/>
  <c r="I70" i="74" s="1"/>
  <c r="J87" i="73"/>
  <c r="I87" i="73" s="1"/>
  <c r="J95" i="73"/>
  <c r="I95" i="73" s="1"/>
  <c r="J110" i="73"/>
  <c r="I110" i="73" s="1"/>
  <c r="J79" i="73"/>
  <c r="I79" i="73" s="1"/>
  <c r="J70" i="73"/>
  <c r="I70" i="73" s="1"/>
  <c r="J111" i="72"/>
  <c r="I111" i="72" s="1"/>
  <c r="J85" i="72"/>
  <c r="I85" i="72" s="1"/>
  <c r="J69" i="72"/>
  <c r="I69" i="72" s="1"/>
  <c r="J91" i="72"/>
  <c r="I91" i="72" s="1"/>
  <c r="J108" i="72"/>
  <c r="I108" i="72" s="1"/>
  <c r="J79" i="72"/>
  <c r="I79" i="72" s="1"/>
  <c r="J87" i="72"/>
  <c r="I87" i="72" s="1"/>
  <c r="J95" i="72"/>
  <c r="I95" i="72" s="1"/>
  <c r="J110" i="72"/>
  <c r="I110" i="72" s="1"/>
  <c r="J70" i="72"/>
  <c r="I70" i="72" s="1"/>
  <c r="J72" i="63"/>
  <c r="I72" i="63" s="1"/>
  <c r="J73" i="63"/>
  <c r="I73" i="63" s="1"/>
  <c r="J76" i="63"/>
  <c r="I76" i="63" s="1"/>
  <c r="J77" i="63"/>
  <c r="I77" i="63" s="1"/>
  <c r="J101" i="63"/>
  <c r="I101" i="63" s="1"/>
  <c r="J102" i="63"/>
  <c r="I102" i="63" s="1"/>
  <c r="J72" i="61"/>
  <c r="I72" i="61" s="1"/>
  <c r="J73" i="61"/>
  <c r="I73" i="61" s="1"/>
  <c r="J76" i="61"/>
  <c r="I76" i="61" s="1"/>
  <c r="J77" i="61"/>
  <c r="I77" i="61" s="1"/>
  <c r="J101" i="61"/>
  <c r="I101" i="61" s="1"/>
  <c r="J102" i="61"/>
  <c r="I102" i="61" s="1"/>
  <c r="J72" i="62"/>
  <c r="I72" i="62" s="1"/>
  <c r="J73" i="62"/>
  <c r="I73" i="62" s="1"/>
  <c r="J76" i="62"/>
  <c r="I76" i="62" s="1"/>
  <c r="J77" i="62"/>
  <c r="I77" i="62" s="1"/>
  <c r="J101" i="62"/>
  <c r="I101" i="62" s="1"/>
  <c r="J102" i="62"/>
  <c r="I102" i="62" s="1"/>
  <c r="J72" i="64"/>
  <c r="I72" i="64" s="1"/>
  <c r="J73" i="64"/>
  <c r="I73" i="64" s="1"/>
  <c r="J76" i="64"/>
  <c r="I76" i="64" s="1"/>
  <c r="J77" i="64"/>
  <c r="I77" i="64" s="1"/>
  <c r="J101" i="64"/>
  <c r="I101" i="64" s="1"/>
  <c r="J102" i="64"/>
  <c r="I102" i="64" s="1"/>
  <c r="J72" i="51"/>
  <c r="I72" i="51" s="1"/>
  <c r="J73" i="51"/>
  <c r="I73" i="51" s="1"/>
  <c r="J76" i="51"/>
  <c r="I76" i="51" s="1"/>
  <c r="J77" i="51"/>
  <c r="I77" i="51" s="1"/>
  <c r="J101" i="51"/>
  <c r="I101" i="51" s="1"/>
  <c r="J102" i="51"/>
  <c r="I102" i="51" s="1"/>
  <c r="J72" i="65"/>
  <c r="I72" i="65" s="1"/>
  <c r="J73" i="65"/>
  <c r="I73" i="65" s="1"/>
  <c r="J76" i="65"/>
  <c r="I76" i="65" s="1"/>
  <c r="J77" i="65"/>
  <c r="I77" i="65" s="1"/>
  <c r="J101" i="65"/>
  <c r="I101" i="65" s="1"/>
  <c r="J102" i="65"/>
  <c r="I102" i="65" s="1"/>
  <c r="J72" i="69"/>
  <c r="I72" i="69" s="1"/>
  <c r="J73" i="69"/>
  <c r="I73" i="69" s="1"/>
  <c r="J76" i="69"/>
  <c r="I76" i="69" s="1"/>
  <c r="J77" i="69"/>
  <c r="I77" i="69" s="1"/>
  <c r="J101" i="69"/>
  <c r="I101" i="69" s="1"/>
  <c r="J102" i="69"/>
  <c r="I102" i="69" s="1"/>
  <c r="J72" i="66"/>
  <c r="I72" i="66" s="1"/>
  <c r="J73" i="66"/>
  <c r="I73" i="66" s="1"/>
  <c r="J76" i="66"/>
  <c r="I76" i="66" s="1"/>
  <c r="J77" i="66"/>
  <c r="I77" i="66" s="1"/>
  <c r="J101" i="66"/>
  <c r="I101" i="66" s="1"/>
  <c r="J102" i="66"/>
  <c r="I102" i="66" s="1"/>
  <c r="J72" i="67"/>
  <c r="I72" i="67" s="1"/>
  <c r="J73" i="67"/>
  <c r="I73" i="67" s="1"/>
  <c r="J76" i="67"/>
  <c r="I76" i="67" s="1"/>
  <c r="J77" i="67"/>
  <c r="I77" i="67" s="1"/>
  <c r="J101" i="67"/>
  <c r="I101" i="67" s="1"/>
  <c r="J102" i="67"/>
  <c r="I102" i="67" s="1"/>
  <c r="J72" i="68"/>
  <c r="I72" i="68" s="1"/>
  <c r="J73" i="68"/>
  <c r="I73" i="68" s="1"/>
  <c r="J76" i="68"/>
  <c r="I76" i="68" s="1"/>
  <c r="J77" i="68"/>
  <c r="I77" i="68" s="1"/>
  <c r="J101" i="68"/>
  <c r="I101" i="68" s="1"/>
  <c r="J102" i="68"/>
  <c r="I102" i="68" s="1"/>
  <c r="J72" i="70"/>
  <c r="I72" i="70" s="1"/>
  <c r="J73" i="70"/>
  <c r="I73" i="70" s="1"/>
  <c r="J76" i="70"/>
  <c r="I76" i="70" s="1"/>
  <c r="J77" i="70"/>
  <c r="I77" i="70" s="1"/>
  <c r="J101" i="70"/>
  <c r="I101" i="70" s="1"/>
  <c r="J102" i="70"/>
  <c r="I102" i="70" s="1"/>
  <c r="J72" i="71"/>
  <c r="I72" i="71" s="1"/>
  <c r="J73" i="71"/>
  <c r="I73" i="71" s="1"/>
  <c r="J76" i="71"/>
  <c r="I76" i="71" s="1"/>
  <c r="J77" i="71"/>
  <c r="I77" i="71" s="1"/>
  <c r="J101" i="71"/>
  <c r="I101" i="71" s="1"/>
  <c r="J102" i="71"/>
  <c r="I102" i="71" s="1"/>
  <c r="J72" i="60"/>
  <c r="I72" i="60" s="1"/>
  <c r="J73" i="60"/>
  <c r="I73" i="60" s="1"/>
  <c r="J76" i="60"/>
  <c r="I76" i="60" s="1"/>
  <c r="J77" i="60"/>
  <c r="I77" i="60" s="1"/>
  <c r="J101" i="60"/>
  <c r="I101" i="60" s="1"/>
  <c r="J102" i="60"/>
  <c r="I102" i="60" s="1"/>
  <c r="K103" i="63"/>
  <c r="J103" i="63" s="1"/>
  <c r="I103" i="63" s="1"/>
  <c r="K103" i="61"/>
  <c r="K103" i="62"/>
  <c r="J103" i="62" s="1"/>
  <c r="I103" i="62" s="1"/>
  <c r="K103" i="64"/>
  <c r="K103" i="51"/>
  <c r="J103" i="51" s="1"/>
  <c r="I103" i="51" s="1"/>
  <c r="K103" i="65"/>
  <c r="K103" i="69"/>
  <c r="J103" i="69" s="1"/>
  <c r="I103" i="69" s="1"/>
  <c r="K103" i="66"/>
  <c r="K103" i="67"/>
  <c r="J103" i="67" s="1"/>
  <c r="I103" i="67" s="1"/>
  <c r="K103" i="68"/>
  <c r="K103" i="70"/>
  <c r="J104" i="70" s="1"/>
  <c r="I104" i="70" s="1"/>
  <c r="K103" i="71"/>
  <c r="J103" i="71" s="1"/>
  <c r="I103" i="71" s="1"/>
  <c r="K103" i="60"/>
  <c r="J103" i="60" s="1"/>
  <c r="I103" i="60" s="1"/>
  <c r="K105" i="63"/>
  <c r="K105" i="61"/>
  <c r="J105" i="61" s="1"/>
  <c r="I105" i="61" s="1"/>
  <c r="K105" i="62"/>
  <c r="K105" i="64"/>
  <c r="J105" i="64" s="1"/>
  <c r="I105" i="64" s="1"/>
  <c r="K105" i="51"/>
  <c r="K105" i="65"/>
  <c r="J105" i="65" s="1"/>
  <c r="I105" i="65" s="1"/>
  <c r="K105" i="69"/>
  <c r="K105" i="66"/>
  <c r="J105" i="66" s="1"/>
  <c r="I105" i="66" s="1"/>
  <c r="K105" i="67"/>
  <c r="K105" i="68"/>
  <c r="J106" i="68" s="1"/>
  <c r="I106" i="68" s="1"/>
  <c r="K105" i="70"/>
  <c r="J105" i="70" s="1"/>
  <c r="I105" i="70" s="1"/>
  <c r="K105" i="71"/>
  <c r="J105" i="71" s="1"/>
  <c r="I105" i="71" s="1"/>
  <c r="K105" i="60"/>
  <c r="K107" i="63"/>
  <c r="J107" i="63" s="1"/>
  <c r="I107" i="63" s="1"/>
  <c r="K107" i="61"/>
  <c r="K107" i="62"/>
  <c r="J107" i="62" s="1"/>
  <c r="I107" i="62" s="1"/>
  <c r="K107" i="64"/>
  <c r="K107" i="51"/>
  <c r="J107" i="51" s="1"/>
  <c r="I107" i="51" s="1"/>
  <c r="K107" i="65"/>
  <c r="K107" i="69"/>
  <c r="J107" i="69" s="1"/>
  <c r="I107" i="69" s="1"/>
  <c r="K107" i="66"/>
  <c r="K107" i="67"/>
  <c r="J108" i="67" s="1"/>
  <c r="I108" i="67" s="1"/>
  <c r="K107" i="68"/>
  <c r="J107" i="68" s="1"/>
  <c r="I107" i="68" s="1"/>
  <c r="K107" i="70"/>
  <c r="J107" i="70" s="1"/>
  <c r="I107" i="70" s="1"/>
  <c r="K107" i="71"/>
  <c r="K107" i="60"/>
  <c r="J107" i="60" s="1"/>
  <c r="I107" i="60" s="1"/>
  <c r="K109" i="63"/>
  <c r="K109" i="61"/>
  <c r="J109" i="61" s="1"/>
  <c r="I109" i="61" s="1"/>
  <c r="K109" i="62"/>
  <c r="K109" i="64"/>
  <c r="J109" i="64" s="1"/>
  <c r="I109" i="64" s="1"/>
  <c r="K109" i="51"/>
  <c r="K109" i="65"/>
  <c r="J109" i="65" s="1"/>
  <c r="I109" i="65" s="1"/>
  <c r="K109" i="69"/>
  <c r="K109" i="66"/>
  <c r="J109" i="66" s="1"/>
  <c r="I109" i="66" s="1"/>
  <c r="K109" i="67"/>
  <c r="J109" i="67" s="1"/>
  <c r="I109" i="67" s="1"/>
  <c r="K109" i="68"/>
  <c r="J109" i="68" s="1"/>
  <c r="I109" i="68" s="1"/>
  <c r="K109" i="70"/>
  <c r="K109" i="71"/>
  <c r="J109" i="71" s="1"/>
  <c r="I109" i="71" s="1"/>
  <c r="K109" i="60"/>
  <c r="J109" i="60" s="1"/>
  <c r="I109" i="60" s="1"/>
  <c r="K111" i="63"/>
  <c r="J111" i="63" s="1"/>
  <c r="I111" i="63" s="1"/>
  <c r="K111" i="61"/>
  <c r="K111" i="62"/>
  <c r="J111" i="62" s="1"/>
  <c r="I111" i="62" s="1"/>
  <c r="K111" i="64"/>
  <c r="K111" i="51"/>
  <c r="J111" i="51" s="1"/>
  <c r="I111" i="51" s="1"/>
  <c r="K111" i="65"/>
  <c r="K111" i="69"/>
  <c r="J111" i="69" s="1"/>
  <c r="I111" i="69" s="1"/>
  <c r="K111" i="66"/>
  <c r="K111" i="67"/>
  <c r="J111" i="67" s="1"/>
  <c r="I111" i="67" s="1"/>
  <c r="K111" i="68"/>
  <c r="J111" i="68" s="1"/>
  <c r="I111" i="68" s="1"/>
  <c r="K111" i="70"/>
  <c r="J111" i="70" s="1"/>
  <c r="I111" i="70" s="1"/>
  <c r="K111" i="71"/>
  <c r="J111" i="71" s="1"/>
  <c r="I111" i="71" s="1"/>
  <c r="K111" i="60"/>
  <c r="J111" i="60" s="1"/>
  <c r="I111" i="60" s="1"/>
  <c r="K94" i="60"/>
  <c r="J94" i="60" s="1"/>
  <c r="I94" i="60" s="1"/>
  <c r="K94" i="61"/>
  <c r="K94" i="62"/>
  <c r="J94" i="62" s="1"/>
  <c r="I94" i="62" s="1"/>
  <c r="K94" i="64"/>
  <c r="K94" i="51"/>
  <c r="J94" i="51" s="1"/>
  <c r="I94" i="51" s="1"/>
  <c r="K94" i="65"/>
  <c r="K94" i="69"/>
  <c r="J94" i="69" s="1"/>
  <c r="I94" i="69" s="1"/>
  <c r="K94" i="66"/>
  <c r="K94" i="67"/>
  <c r="J94" i="67" s="1"/>
  <c r="I94" i="67" s="1"/>
  <c r="K94" i="68"/>
  <c r="J94" i="68" s="1"/>
  <c r="I94" i="68" s="1"/>
  <c r="K94" i="70"/>
  <c r="J94" i="70" s="1"/>
  <c r="I94" i="70" s="1"/>
  <c r="K94" i="71"/>
  <c r="K94" i="63"/>
  <c r="J94" i="63" s="1"/>
  <c r="I94" i="63" s="1"/>
  <c r="K92" i="60"/>
  <c r="J92" i="60" s="1"/>
  <c r="I92" i="60" s="1"/>
  <c r="K92" i="61"/>
  <c r="J92" i="61" s="1"/>
  <c r="I92" i="61" s="1"/>
  <c r="K92" i="62"/>
  <c r="K92" i="64"/>
  <c r="J92" i="64" s="1"/>
  <c r="I92" i="64" s="1"/>
  <c r="K92" i="51"/>
  <c r="K92" i="65"/>
  <c r="J92" i="65" s="1"/>
  <c r="I92" i="65" s="1"/>
  <c r="K92" i="69"/>
  <c r="K92" i="66"/>
  <c r="J92" i="66" s="1"/>
  <c r="I92" i="66" s="1"/>
  <c r="K92" i="67"/>
  <c r="J92" i="67" s="1"/>
  <c r="I92" i="67" s="1"/>
  <c r="K92" i="68"/>
  <c r="J92" i="68" s="1"/>
  <c r="I92" i="68" s="1"/>
  <c r="K92" i="70"/>
  <c r="K92" i="71"/>
  <c r="J92" i="71" s="1"/>
  <c r="I92" i="71" s="1"/>
  <c r="K92" i="63"/>
  <c r="K90" i="60"/>
  <c r="J90" i="60" s="1"/>
  <c r="I90" i="60" s="1"/>
  <c r="K90" i="61"/>
  <c r="K90" i="62"/>
  <c r="J90" i="62" s="1"/>
  <c r="I90" i="62" s="1"/>
  <c r="K90" i="64"/>
  <c r="K90" i="51"/>
  <c r="J90" i="51" s="1"/>
  <c r="I90" i="51" s="1"/>
  <c r="K90" i="65"/>
  <c r="K90" i="69"/>
  <c r="J90" i="69" s="1"/>
  <c r="I90" i="69" s="1"/>
  <c r="K90" i="66"/>
  <c r="K90" i="67"/>
  <c r="J90" i="67" s="1"/>
  <c r="I90" i="67" s="1"/>
  <c r="K90" i="68"/>
  <c r="J90" i="68" s="1"/>
  <c r="I90" i="68" s="1"/>
  <c r="K90" i="70"/>
  <c r="J90" i="70" s="1"/>
  <c r="I90" i="70" s="1"/>
  <c r="K90" i="71"/>
  <c r="J90" i="71" s="1"/>
  <c r="I90" i="71" s="1"/>
  <c r="K90" i="63"/>
  <c r="J90" i="63" s="1"/>
  <c r="I90" i="63" s="1"/>
  <c r="K88" i="60"/>
  <c r="K88" i="61"/>
  <c r="J88" i="61" s="1"/>
  <c r="I88" i="61" s="1"/>
  <c r="K88" i="62"/>
  <c r="K88" i="64"/>
  <c r="J88" i="64" s="1"/>
  <c r="I88" i="64" s="1"/>
  <c r="K88" i="51"/>
  <c r="K88" i="65"/>
  <c r="J88" i="65" s="1"/>
  <c r="I88" i="65" s="1"/>
  <c r="K88" i="69"/>
  <c r="K88" i="66"/>
  <c r="J88" i="66" s="1"/>
  <c r="I88" i="66" s="1"/>
  <c r="K88" i="67"/>
  <c r="K88" i="68"/>
  <c r="J88" i="68" s="1"/>
  <c r="I88" i="68" s="1"/>
  <c r="K88" i="70"/>
  <c r="J88" i="70" s="1"/>
  <c r="I88" i="70" s="1"/>
  <c r="K88" i="71"/>
  <c r="J88" i="71" s="1"/>
  <c r="I88" i="71" s="1"/>
  <c r="K88" i="63"/>
  <c r="K86" i="63"/>
  <c r="J86" i="63" s="1"/>
  <c r="I86" i="63" s="1"/>
  <c r="K86" i="61"/>
  <c r="K86" i="62"/>
  <c r="J86" i="62" s="1"/>
  <c r="I86" i="62" s="1"/>
  <c r="K86" i="64"/>
  <c r="K86" i="51"/>
  <c r="J86" i="51" s="1"/>
  <c r="I86" i="51" s="1"/>
  <c r="K86" i="65"/>
  <c r="K86" i="69"/>
  <c r="J86" i="69" s="1"/>
  <c r="I86" i="69" s="1"/>
  <c r="K86" i="66"/>
  <c r="K86" i="67"/>
  <c r="J86" i="67" s="1"/>
  <c r="I86" i="67" s="1"/>
  <c r="K86" i="68"/>
  <c r="J86" i="68" s="1"/>
  <c r="I86" i="68" s="1"/>
  <c r="K86" i="70"/>
  <c r="J86" i="70" s="1"/>
  <c r="I86" i="70" s="1"/>
  <c r="K86" i="71"/>
  <c r="K86" i="60"/>
  <c r="J86" i="60" s="1"/>
  <c r="I86" i="60" s="1"/>
  <c r="K84" i="63"/>
  <c r="K84" i="61"/>
  <c r="J84" i="61" s="1"/>
  <c r="I84" i="61" s="1"/>
  <c r="K84" i="62"/>
  <c r="K84" i="64"/>
  <c r="J84" i="64" s="1"/>
  <c r="I84" i="64" s="1"/>
  <c r="K84" i="51"/>
  <c r="K84" i="65"/>
  <c r="J84" i="65" s="1"/>
  <c r="I84" i="65" s="1"/>
  <c r="K84" i="69"/>
  <c r="K84" i="66"/>
  <c r="J84" i="66" s="1"/>
  <c r="I84" i="66" s="1"/>
  <c r="K84" i="67"/>
  <c r="J84" i="67" s="1"/>
  <c r="I84" i="67" s="1"/>
  <c r="K84" i="68"/>
  <c r="J84" i="68" s="1"/>
  <c r="I84" i="68" s="1"/>
  <c r="K84" i="70"/>
  <c r="K84" i="71"/>
  <c r="J84" i="71" s="1"/>
  <c r="I84" i="71" s="1"/>
  <c r="K84" i="60"/>
  <c r="J84" i="60" s="1"/>
  <c r="I84" i="60" s="1"/>
  <c r="K82" i="63"/>
  <c r="J82" i="63" s="1"/>
  <c r="I82" i="63" s="1"/>
  <c r="K82" i="61"/>
  <c r="K82" i="62"/>
  <c r="J82" i="62" s="1"/>
  <c r="I82" i="62" s="1"/>
  <c r="K82" i="64"/>
  <c r="K82" i="51"/>
  <c r="J82" i="51" s="1"/>
  <c r="I82" i="51" s="1"/>
  <c r="K82" i="65"/>
  <c r="K82" i="69"/>
  <c r="J82" i="69" s="1"/>
  <c r="I82" i="69" s="1"/>
  <c r="K82" i="66"/>
  <c r="K82" i="67"/>
  <c r="J83" i="67" s="1"/>
  <c r="I83" i="67" s="1"/>
  <c r="K82" i="68"/>
  <c r="K82" i="70"/>
  <c r="J83" i="70" s="1"/>
  <c r="I83" i="70" s="1"/>
  <c r="K82" i="71"/>
  <c r="J82" i="71" s="1"/>
  <c r="I82" i="71" s="1"/>
  <c r="K82" i="60"/>
  <c r="J82" i="60" s="1"/>
  <c r="I82" i="60" s="1"/>
  <c r="K80" i="63"/>
  <c r="K80" i="61"/>
  <c r="J80" i="61" s="1"/>
  <c r="I80" i="61" s="1"/>
  <c r="K80" i="62"/>
  <c r="K80" i="64"/>
  <c r="J80" i="64" s="1"/>
  <c r="I80" i="64" s="1"/>
  <c r="K80" i="51"/>
  <c r="K80" i="65"/>
  <c r="J80" i="65" s="1"/>
  <c r="I80" i="65" s="1"/>
  <c r="K80" i="69"/>
  <c r="K80" i="66"/>
  <c r="J80" i="66" s="1"/>
  <c r="I80" i="66" s="1"/>
  <c r="K80" i="67"/>
  <c r="K80" i="68"/>
  <c r="J81" i="68" s="1"/>
  <c r="I81" i="68" s="1"/>
  <c r="K80" i="70"/>
  <c r="J80" i="70" s="1"/>
  <c r="I80" i="70" s="1"/>
  <c r="K80" i="71"/>
  <c r="J80" i="71" s="1"/>
  <c r="I80" i="71" s="1"/>
  <c r="K80" i="60"/>
  <c r="K78" i="63"/>
  <c r="J78" i="63" s="1"/>
  <c r="I78" i="63" s="1"/>
  <c r="K78" i="61"/>
  <c r="K78" i="62"/>
  <c r="J78" i="62" s="1"/>
  <c r="I78" i="62" s="1"/>
  <c r="K78" i="64"/>
  <c r="K78" i="51"/>
  <c r="J78" i="51" s="1"/>
  <c r="I78" i="51" s="1"/>
  <c r="K78" i="65"/>
  <c r="K78" i="69"/>
  <c r="J78" i="69" s="1"/>
  <c r="I78" i="69" s="1"/>
  <c r="K78" i="66"/>
  <c r="K78" i="67"/>
  <c r="J78" i="67" s="1"/>
  <c r="I78" i="67" s="1"/>
  <c r="K78" i="68"/>
  <c r="J78" i="68" s="1"/>
  <c r="I78" i="68" s="1"/>
  <c r="K78" i="70"/>
  <c r="J78" i="70" s="1"/>
  <c r="I78" i="70" s="1"/>
  <c r="K78" i="71"/>
  <c r="K78" i="60"/>
  <c r="J78" i="60" s="1"/>
  <c r="I78" i="60" s="1"/>
  <c r="K70" i="63"/>
  <c r="J70" i="63" s="1"/>
  <c r="I70" i="63" s="1"/>
  <c r="K70" i="61"/>
  <c r="K70" i="62"/>
  <c r="K70" i="64"/>
  <c r="K70" i="51"/>
  <c r="J70" i="51" s="1"/>
  <c r="I70" i="51" s="1"/>
  <c r="K70" i="65"/>
  <c r="K70" i="69"/>
  <c r="K70" i="66"/>
  <c r="K70" i="67"/>
  <c r="J70" i="67" s="1"/>
  <c r="I70" i="67" s="1"/>
  <c r="K70" i="68"/>
  <c r="J70" i="68" s="1"/>
  <c r="I70" i="68" s="1"/>
  <c r="K70" i="70"/>
  <c r="K70" i="71"/>
  <c r="J70" i="71" s="1"/>
  <c r="I70" i="71" s="1"/>
  <c r="K70" i="60"/>
  <c r="J71" i="60" s="1"/>
  <c r="I71" i="60" s="1"/>
  <c r="K68" i="63"/>
  <c r="J69" i="63" s="1"/>
  <c r="I69" i="63" s="1"/>
  <c r="K68" i="61"/>
  <c r="K68" i="62"/>
  <c r="J69" i="62" s="1"/>
  <c r="I69" i="62" s="1"/>
  <c r="K68" i="64"/>
  <c r="J68" i="64" s="1"/>
  <c r="I68" i="64" s="1"/>
  <c r="K68" i="51"/>
  <c r="J69" i="51" s="1"/>
  <c r="I69" i="51" s="1"/>
  <c r="K68" i="65"/>
  <c r="K68" i="69"/>
  <c r="J69" i="69" s="1"/>
  <c r="I69" i="69" s="1"/>
  <c r="K68" i="66"/>
  <c r="J68" i="66" s="1"/>
  <c r="I68" i="66" s="1"/>
  <c r="K68" i="67"/>
  <c r="J69" i="67" s="1"/>
  <c r="I69" i="67" s="1"/>
  <c r="K68" i="68"/>
  <c r="K68" i="70"/>
  <c r="J69" i="70" s="1"/>
  <c r="I69" i="70" s="1"/>
  <c r="K68" i="71"/>
  <c r="J68" i="71" s="1"/>
  <c r="I68" i="71" s="1"/>
  <c r="K68" i="60"/>
  <c r="J69" i="60" s="1"/>
  <c r="I69" i="60" s="1"/>
  <c r="K74" i="63"/>
  <c r="K74" i="61"/>
  <c r="K74" i="62"/>
  <c r="J74" i="62" s="1"/>
  <c r="I74" i="62" s="1"/>
  <c r="K74" i="64"/>
  <c r="K74" i="51"/>
  <c r="K74" i="65"/>
  <c r="K74" i="69"/>
  <c r="J74" i="69" s="1"/>
  <c r="I74" i="69" s="1"/>
  <c r="K74" i="66"/>
  <c r="K74" i="67"/>
  <c r="K74" i="68"/>
  <c r="J74" i="68" s="1"/>
  <c r="I74" i="68" s="1"/>
  <c r="K74" i="70"/>
  <c r="J74" i="70" s="1"/>
  <c r="I74" i="70" s="1"/>
  <c r="K74" i="71"/>
  <c r="J74" i="71" s="1"/>
  <c r="I74" i="71" s="1"/>
  <c r="K74" i="60"/>
  <c r="J74" i="60" s="1"/>
  <c r="I74" i="60" s="1"/>
  <c r="J112" i="60" l="1"/>
  <c r="I112" i="60" s="1"/>
  <c r="J110" i="65"/>
  <c r="I110" i="65" s="1"/>
  <c r="J75" i="60"/>
  <c r="I75" i="60" s="1"/>
  <c r="J110" i="61"/>
  <c r="I110" i="61" s="1"/>
  <c r="J68" i="69"/>
  <c r="I68" i="69" s="1"/>
  <c r="J69" i="66"/>
  <c r="I69" i="66" s="1"/>
  <c r="J91" i="60"/>
  <c r="I91" i="60" s="1"/>
  <c r="J79" i="60"/>
  <c r="I79" i="60" s="1"/>
  <c r="J70" i="60"/>
  <c r="I70" i="60" s="1"/>
  <c r="J89" i="71"/>
  <c r="I89" i="71" s="1"/>
  <c r="J112" i="70"/>
  <c r="I112" i="70" s="1"/>
  <c r="J103" i="70"/>
  <c r="I103" i="70" s="1"/>
  <c r="J91" i="70"/>
  <c r="I91" i="70" s="1"/>
  <c r="J105" i="68"/>
  <c r="I105" i="68" s="1"/>
  <c r="J85" i="68"/>
  <c r="I85" i="68" s="1"/>
  <c r="J75" i="68"/>
  <c r="I75" i="68" s="1"/>
  <c r="J107" i="67"/>
  <c r="I107" i="67" s="1"/>
  <c r="J87" i="67"/>
  <c r="I87" i="67" s="1"/>
  <c r="J81" i="65"/>
  <c r="I81" i="65" s="1"/>
  <c r="J91" i="51"/>
  <c r="I91" i="51" s="1"/>
  <c r="J81" i="61"/>
  <c r="I81" i="61" s="1"/>
  <c r="J91" i="63"/>
  <c r="I91" i="63" s="1"/>
  <c r="J68" i="62"/>
  <c r="I68" i="62" s="1"/>
  <c r="J108" i="60"/>
  <c r="I108" i="60" s="1"/>
  <c r="J87" i="60"/>
  <c r="I87" i="60" s="1"/>
  <c r="J110" i="71"/>
  <c r="I110" i="71" s="1"/>
  <c r="J85" i="71"/>
  <c r="I85" i="71" s="1"/>
  <c r="J87" i="70"/>
  <c r="I87" i="70" s="1"/>
  <c r="J80" i="68"/>
  <c r="I80" i="68" s="1"/>
  <c r="J82" i="67"/>
  <c r="I82" i="67" s="1"/>
  <c r="J89" i="66"/>
  <c r="I89" i="66" s="1"/>
  <c r="J108" i="51"/>
  <c r="I108" i="51" s="1"/>
  <c r="J83" i="51"/>
  <c r="I83" i="51" s="1"/>
  <c r="J89" i="64"/>
  <c r="I89" i="64" s="1"/>
  <c r="J108" i="63"/>
  <c r="I108" i="63" s="1"/>
  <c r="J83" i="63"/>
  <c r="I83" i="63" s="1"/>
  <c r="J69" i="71"/>
  <c r="I69" i="71" s="1"/>
  <c r="J69" i="64"/>
  <c r="I69" i="64" s="1"/>
  <c r="J95" i="60"/>
  <c r="I95" i="60" s="1"/>
  <c r="J93" i="71"/>
  <c r="I93" i="71" s="1"/>
  <c r="J108" i="70"/>
  <c r="I108" i="70" s="1"/>
  <c r="J82" i="70"/>
  <c r="I82" i="70" s="1"/>
  <c r="J110" i="66"/>
  <c r="I110" i="66" s="1"/>
  <c r="J81" i="66"/>
  <c r="I81" i="66" s="1"/>
  <c r="J91" i="69"/>
  <c r="I91" i="69" s="1"/>
  <c r="J110" i="64"/>
  <c r="I110" i="64" s="1"/>
  <c r="J81" i="64"/>
  <c r="I81" i="64" s="1"/>
  <c r="J91" i="62"/>
  <c r="I91" i="62" s="1"/>
  <c r="J68" i="70"/>
  <c r="I68" i="70" s="1"/>
  <c r="J104" i="60"/>
  <c r="I104" i="60" s="1"/>
  <c r="J83" i="60"/>
  <c r="I83" i="60" s="1"/>
  <c r="J106" i="71"/>
  <c r="I106" i="71" s="1"/>
  <c r="J81" i="71"/>
  <c r="I81" i="71" s="1"/>
  <c r="J95" i="70"/>
  <c r="I95" i="70" s="1"/>
  <c r="J91" i="68"/>
  <c r="I91" i="68" s="1"/>
  <c r="J112" i="67"/>
  <c r="I112" i="67" s="1"/>
  <c r="J93" i="67"/>
  <c r="I93" i="67" s="1"/>
  <c r="J108" i="69"/>
  <c r="I108" i="69" s="1"/>
  <c r="J83" i="69"/>
  <c r="I83" i="69" s="1"/>
  <c r="J89" i="65"/>
  <c r="I89" i="65" s="1"/>
  <c r="J108" i="62"/>
  <c r="I108" i="62" s="1"/>
  <c r="J83" i="62"/>
  <c r="I83" i="62" s="1"/>
  <c r="J89" i="61"/>
  <c r="I89" i="61" s="1"/>
  <c r="J74" i="67"/>
  <c r="I74" i="67" s="1"/>
  <c r="J75" i="67"/>
  <c r="I75" i="67" s="1"/>
  <c r="J74" i="51"/>
  <c r="I74" i="51" s="1"/>
  <c r="J75" i="51"/>
  <c r="I75" i="51" s="1"/>
  <c r="J74" i="63"/>
  <c r="I74" i="63" s="1"/>
  <c r="J75" i="63"/>
  <c r="I75" i="63" s="1"/>
  <c r="J68" i="68"/>
  <c r="I68" i="68" s="1"/>
  <c r="J69" i="68"/>
  <c r="I69" i="68" s="1"/>
  <c r="J68" i="65"/>
  <c r="I68" i="65" s="1"/>
  <c r="J69" i="65"/>
  <c r="I69" i="65" s="1"/>
  <c r="J68" i="61"/>
  <c r="I68" i="61" s="1"/>
  <c r="J69" i="61"/>
  <c r="I69" i="61" s="1"/>
  <c r="J70" i="70"/>
  <c r="I70" i="70" s="1"/>
  <c r="J71" i="70"/>
  <c r="I71" i="70" s="1"/>
  <c r="J70" i="69"/>
  <c r="I70" i="69" s="1"/>
  <c r="J71" i="69"/>
  <c r="I71" i="69" s="1"/>
  <c r="J70" i="62"/>
  <c r="I70" i="62" s="1"/>
  <c r="J71" i="62"/>
  <c r="I71" i="62" s="1"/>
  <c r="J78" i="71"/>
  <c r="I78" i="71" s="1"/>
  <c r="J79" i="71"/>
  <c r="I79" i="71" s="1"/>
  <c r="J78" i="66"/>
  <c r="I78" i="66" s="1"/>
  <c r="J79" i="66"/>
  <c r="I79" i="66" s="1"/>
  <c r="J78" i="64"/>
  <c r="I78" i="64" s="1"/>
  <c r="J79" i="64"/>
  <c r="I79" i="64" s="1"/>
  <c r="J80" i="60"/>
  <c r="I80" i="60" s="1"/>
  <c r="J81" i="60"/>
  <c r="I81" i="60" s="1"/>
  <c r="J80" i="67"/>
  <c r="I80" i="67" s="1"/>
  <c r="J81" i="67"/>
  <c r="I81" i="67" s="1"/>
  <c r="J80" i="51"/>
  <c r="I80" i="51" s="1"/>
  <c r="J81" i="51"/>
  <c r="I81" i="51" s="1"/>
  <c r="J80" i="63"/>
  <c r="I80" i="63" s="1"/>
  <c r="J81" i="63"/>
  <c r="I81" i="63" s="1"/>
  <c r="J82" i="68"/>
  <c r="I82" i="68" s="1"/>
  <c r="J83" i="68"/>
  <c r="I83" i="68" s="1"/>
  <c r="J82" i="65"/>
  <c r="I82" i="65" s="1"/>
  <c r="J83" i="65"/>
  <c r="I83" i="65" s="1"/>
  <c r="J82" i="61"/>
  <c r="I82" i="61" s="1"/>
  <c r="J83" i="61"/>
  <c r="I83" i="61" s="1"/>
  <c r="J84" i="70"/>
  <c r="I84" i="70" s="1"/>
  <c r="J85" i="70"/>
  <c r="I85" i="70" s="1"/>
  <c r="J84" i="69"/>
  <c r="I84" i="69" s="1"/>
  <c r="J85" i="69"/>
  <c r="I85" i="69" s="1"/>
  <c r="J84" i="62"/>
  <c r="I84" i="62" s="1"/>
  <c r="J85" i="62"/>
  <c r="I85" i="62" s="1"/>
  <c r="J86" i="71"/>
  <c r="I86" i="71" s="1"/>
  <c r="J87" i="71"/>
  <c r="I87" i="71" s="1"/>
  <c r="J86" i="66"/>
  <c r="I86" i="66" s="1"/>
  <c r="J87" i="66"/>
  <c r="I87" i="66" s="1"/>
  <c r="J86" i="64"/>
  <c r="I86" i="64" s="1"/>
  <c r="J87" i="64"/>
  <c r="I87" i="64" s="1"/>
  <c r="J88" i="63"/>
  <c r="I88" i="63" s="1"/>
  <c r="J89" i="63"/>
  <c r="I89" i="63" s="1"/>
  <c r="J88" i="67"/>
  <c r="I88" i="67" s="1"/>
  <c r="J89" i="67"/>
  <c r="I89" i="67" s="1"/>
  <c r="J88" i="51"/>
  <c r="I88" i="51" s="1"/>
  <c r="J89" i="51"/>
  <c r="I89" i="51" s="1"/>
  <c r="J88" i="60"/>
  <c r="I88" i="60" s="1"/>
  <c r="J89" i="60"/>
  <c r="I89" i="60" s="1"/>
  <c r="J90" i="65"/>
  <c r="I90" i="65" s="1"/>
  <c r="J91" i="65"/>
  <c r="I91" i="65" s="1"/>
  <c r="J90" i="61"/>
  <c r="I90" i="61" s="1"/>
  <c r="J91" i="61"/>
  <c r="I91" i="61" s="1"/>
  <c r="J92" i="70"/>
  <c r="I92" i="70" s="1"/>
  <c r="J93" i="70"/>
  <c r="I93" i="70" s="1"/>
  <c r="J92" i="69"/>
  <c r="I92" i="69" s="1"/>
  <c r="J93" i="69"/>
  <c r="I93" i="69" s="1"/>
  <c r="J92" i="62"/>
  <c r="I92" i="62" s="1"/>
  <c r="J93" i="62"/>
  <c r="I93" i="62" s="1"/>
  <c r="J94" i="71"/>
  <c r="I94" i="71" s="1"/>
  <c r="J95" i="71"/>
  <c r="I95" i="71" s="1"/>
  <c r="J94" i="66"/>
  <c r="I94" i="66" s="1"/>
  <c r="J95" i="66"/>
  <c r="I95" i="66" s="1"/>
  <c r="J94" i="64"/>
  <c r="I94" i="64" s="1"/>
  <c r="J95" i="64"/>
  <c r="I95" i="64" s="1"/>
  <c r="J111" i="65"/>
  <c r="I111" i="65" s="1"/>
  <c r="J112" i="65"/>
  <c r="I112" i="65" s="1"/>
  <c r="J111" i="61"/>
  <c r="I111" i="61" s="1"/>
  <c r="J112" i="61"/>
  <c r="I112" i="61" s="1"/>
  <c r="J109" i="70"/>
  <c r="I109" i="70" s="1"/>
  <c r="J110" i="70"/>
  <c r="I110" i="70" s="1"/>
  <c r="J109" i="69"/>
  <c r="I109" i="69" s="1"/>
  <c r="J110" i="69"/>
  <c r="I110" i="69" s="1"/>
  <c r="J109" i="62"/>
  <c r="I109" i="62" s="1"/>
  <c r="J110" i="62"/>
  <c r="I110" i="62" s="1"/>
  <c r="J107" i="71"/>
  <c r="I107" i="71" s="1"/>
  <c r="J108" i="71"/>
  <c r="I108" i="71" s="1"/>
  <c r="J107" i="66"/>
  <c r="I107" i="66" s="1"/>
  <c r="J108" i="66"/>
  <c r="I108" i="66" s="1"/>
  <c r="J107" i="64"/>
  <c r="I107" i="64" s="1"/>
  <c r="J108" i="64"/>
  <c r="I108" i="64" s="1"/>
  <c r="J105" i="60"/>
  <c r="I105" i="60" s="1"/>
  <c r="J106" i="60"/>
  <c r="I106" i="60" s="1"/>
  <c r="J105" i="67"/>
  <c r="I105" i="67" s="1"/>
  <c r="J106" i="67"/>
  <c r="I106" i="67" s="1"/>
  <c r="J105" i="51"/>
  <c r="I105" i="51" s="1"/>
  <c r="J106" i="51"/>
  <c r="I106" i="51" s="1"/>
  <c r="J105" i="63"/>
  <c r="I105" i="63" s="1"/>
  <c r="J106" i="63"/>
  <c r="I106" i="63" s="1"/>
  <c r="J103" i="68"/>
  <c r="I103" i="68" s="1"/>
  <c r="J104" i="68"/>
  <c r="I104" i="68" s="1"/>
  <c r="J103" i="65"/>
  <c r="I103" i="65" s="1"/>
  <c r="J104" i="65"/>
  <c r="I104" i="65" s="1"/>
  <c r="J103" i="61"/>
  <c r="I103" i="61" s="1"/>
  <c r="J104" i="61"/>
  <c r="I104" i="61" s="1"/>
  <c r="J112" i="68"/>
  <c r="I112" i="68" s="1"/>
  <c r="J81" i="70"/>
  <c r="I81" i="70" s="1"/>
  <c r="J110" i="68"/>
  <c r="I110" i="68" s="1"/>
  <c r="J95" i="68"/>
  <c r="I95" i="68" s="1"/>
  <c r="J89" i="68"/>
  <c r="I89" i="68" s="1"/>
  <c r="J79" i="68"/>
  <c r="I79" i="68" s="1"/>
  <c r="J91" i="67"/>
  <c r="I91" i="67" s="1"/>
  <c r="J74" i="66"/>
  <c r="I74" i="66" s="1"/>
  <c r="J75" i="66"/>
  <c r="I75" i="66" s="1"/>
  <c r="J74" i="64"/>
  <c r="I74" i="64" s="1"/>
  <c r="J75" i="64"/>
  <c r="I75" i="64" s="1"/>
  <c r="J70" i="65"/>
  <c r="I70" i="65" s="1"/>
  <c r="J71" i="65"/>
  <c r="I71" i="65" s="1"/>
  <c r="J78" i="65"/>
  <c r="I78" i="65" s="1"/>
  <c r="J79" i="65"/>
  <c r="I79" i="65" s="1"/>
  <c r="J78" i="61"/>
  <c r="I78" i="61" s="1"/>
  <c r="J79" i="61"/>
  <c r="I79" i="61" s="1"/>
  <c r="J80" i="69"/>
  <c r="I80" i="69" s="1"/>
  <c r="J81" i="69"/>
  <c r="I81" i="69" s="1"/>
  <c r="J82" i="66"/>
  <c r="I82" i="66" s="1"/>
  <c r="J83" i="66"/>
  <c r="I83" i="66" s="1"/>
  <c r="J84" i="51"/>
  <c r="I84" i="51" s="1"/>
  <c r="J85" i="51"/>
  <c r="I85" i="51" s="1"/>
  <c r="J84" i="63"/>
  <c r="I84" i="63" s="1"/>
  <c r="J85" i="63"/>
  <c r="I85" i="63" s="1"/>
  <c r="J86" i="61"/>
  <c r="I86" i="61" s="1"/>
  <c r="J87" i="61"/>
  <c r="I87" i="61" s="1"/>
  <c r="J94" i="65"/>
  <c r="I94" i="65" s="1"/>
  <c r="J95" i="65"/>
  <c r="I95" i="65" s="1"/>
  <c r="J94" i="61"/>
  <c r="I94" i="61" s="1"/>
  <c r="J95" i="61"/>
  <c r="I95" i="61" s="1"/>
  <c r="J111" i="66"/>
  <c r="I111" i="66" s="1"/>
  <c r="J112" i="66"/>
  <c r="I112" i="66" s="1"/>
  <c r="J111" i="64"/>
  <c r="I111" i="64" s="1"/>
  <c r="J112" i="64"/>
  <c r="I112" i="64" s="1"/>
  <c r="J109" i="51"/>
  <c r="I109" i="51" s="1"/>
  <c r="J110" i="51"/>
  <c r="I110" i="51" s="1"/>
  <c r="J109" i="63"/>
  <c r="I109" i="63" s="1"/>
  <c r="J110" i="63"/>
  <c r="I110" i="63" s="1"/>
  <c r="J107" i="65"/>
  <c r="I107" i="65" s="1"/>
  <c r="J108" i="65"/>
  <c r="I108" i="65" s="1"/>
  <c r="J107" i="61"/>
  <c r="I107" i="61" s="1"/>
  <c r="J108" i="61"/>
  <c r="I108" i="61" s="1"/>
  <c r="J105" i="69"/>
  <c r="I105" i="69" s="1"/>
  <c r="J106" i="69"/>
  <c r="I106" i="69" s="1"/>
  <c r="J105" i="62"/>
  <c r="I105" i="62" s="1"/>
  <c r="J106" i="62"/>
  <c r="I106" i="62" s="1"/>
  <c r="J103" i="66"/>
  <c r="I103" i="66" s="1"/>
  <c r="J104" i="66"/>
  <c r="I104" i="66" s="1"/>
  <c r="J103" i="64"/>
  <c r="I103" i="64" s="1"/>
  <c r="J104" i="64"/>
  <c r="I104" i="64" s="1"/>
  <c r="J68" i="60"/>
  <c r="I68" i="60" s="1"/>
  <c r="J68" i="67"/>
  <c r="I68" i="67" s="1"/>
  <c r="J68" i="51"/>
  <c r="I68" i="51" s="1"/>
  <c r="J68" i="63"/>
  <c r="I68" i="63" s="1"/>
  <c r="J110" i="60"/>
  <c r="I110" i="60" s="1"/>
  <c r="J93" i="60"/>
  <c r="I93" i="60" s="1"/>
  <c r="J85" i="60"/>
  <c r="I85" i="60" s="1"/>
  <c r="J112" i="71"/>
  <c r="I112" i="71" s="1"/>
  <c r="J104" i="71"/>
  <c r="I104" i="71" s="1"/>
  <c r="J91" i="71"/>
  <c r="I91" i="71" s="1"/>
  <c r="J83" i="71"/>
  <c r="I83" i="71" s="1"/>
  <c r="J75" i="71"/>
  <c r="I75" i="71" s="1"/>
  <c r="J71" i="71"/>
  <c r="I71" i="71" s="1"/>
  <c r="J106" i="70"/>
  <c r="I106" i="70" s="1"/>
  <c r="J89" i="70"/>
  <c r="I89" i="70" s="1"/>
  <c r="J79" i="70"/>
  <c r="I79" i="70" s="1"/>
  <c r="J75" i="70"/>
  <c r="I75" i="70" s="1"/>
  <c r="J93" i="68"/>
  <c r="I93" i="68" s="1"/>
  <c r="J110" i="67"/>
  <c r="I110" i="67" s="1"/>
  <c r="J104" i="67"/>
  <c r="I104" i="67" s="1"/>
  <c r="J95" i="67"/>
  <c r="I95" i="67" s="1"/>
  <c r="J85" i="67"/>
  <c r="I85" i="67" s="1"/>
  <c r="J79" i="67"/>
  <c r="I79" i="67" s="1"/>
  <c r="J71" i="67"/>
  <c r="I71" i="67" s="1"/>
  <c r="J106" i="66"/>
  <c r="I106" i="66" s="1"/>
  <c r="J93" i="66"/>
  <c r="I93" i="66" s="1"/>
  <c r="J85" i="66"/>
  <c r="I85" i="66" s="1"/>
  <c r="J112" i="69"/>
  <c r="I112" i="69" s="1"/>
  <c r="J104" i="69"/>
  <c r="I104" i="69" s="1"/>
  <c r="J95" i="69"/>
  <c r="I95" i="69" s="1"/>
  <c r="J87" i="69"/>
  <c r="I87" i="69" s="1"/>
  <c r="J79" i="69"/>
  <c r="I79" i="69" s="1"/>
  <c r="J75" i="69"/>
  <c r="I75" i="69" s="1"/>
  <c r="J106" i="65"/>
  <c r="I106" i="65" s="1"/>
  <c r="J93" i="65"/>
  <c r="I93" i="65" s="1"/>
  <c r="J85" i="65"/>
  <c r="I85" i="65" s="1"/>
  <c r="J112" i="51"/>
  <c r="I112" i="51" s="1"/>
  <c r="J104" i="51"/>
  <c r="I104" i="51" s="1"/>
  <c r="J95" i="51"/>
  <c r="I95" i="51" s="1"/>
  <c r="J87" i="51"/>
  <c r="I87" i="51" s="1"/>
  <c r="J79" i="51"/>
  <c r="I79" i="51" s="1"/>
  <c r="J71" i="51"/>
  <c r="I71" i="51" s="1"/>
  <c r="J106" i="64"/>
  <c r="I106" i="64" s="1"/>
  <c r="J93" i="64"/>
  <c r="I93" i="64" s="1"/>
  <c r="J85" i="64"/>
  <c r="I85" i="64" s="1"/>
  <c r="J112" i="62"/>
  <c r="I112" i="62" s="1"/>
  <c r="J104" i="62"/>
  <c r="I104" i="62" s="1"/>
  <c r="J95" i="62"/>
  <c r="I95" i="62" s="1"/>
  <c r="J87" i="62"/>
  <c r="I87" i="62" s="1"/>
  <c r="J79" i="62"/>
  <c r="I79" i="62" s="1"/>
  <c r="J75" i="62"/>
  <c r="I75" i="62" s="1"/>
  <c r="J106" i="61"/>
  <c r="I106" i="61" s="1"/>
  <c r="J93" i="61"/>
  <c r="I93" i="61" s="1"/>
  <c r="J85" i="61"/>
  <c r="I85" i="61" s="1"/>
  <c r="J112" i="63"/>
  <c r="I112" i="63" s="1"/>
  <c r="J104" i="63"/>
  <c r="I104" i="63" s="1"/>
  <c r="J95" i="63"/>
  <c r="I95" i="63" s="1"/>
  <c r="J87" i="63"/>
  <c r="I87" i="63" s="1"/>
  <c r="J79" i="63"/>
  <c r="I79" i="63" s="1"/>
  <c r="J71" i="63"/>
  <c r="I71" i="63" s="1"/>
  <c r="J70" i="61"/>
  <c r="I70" i="61" s="1"/>
  <c r="J71" i="61"/>
  <c r="I71" i="61" s="1"/>
  <c r="J80" i="62"/>
  <c r="I80" i="62" s="1"/>
  <c r="J81" i="62"/>
  <c r="I81" i="62" s="1"/>
  <c r="J82" i="64"/>
  <c r="I82" i="64" s="1"/>
  <c r="J83" i="64"/>
  <c r="I83" i="64" s="1"/>
  <c r="J86" i="65"/>
  <c r="I86" i="65" s="1"/>
  <c r="J87" i="65"/>
  <c r="I87" i="65" s="1"/>
  <c r="J88" i="69"/>
  <c r="I88" i="69" s="1"/>
  <c r="J89" i="69"/>
  <c r="I89" i="69" s="1"/>
  <c r="J88" i="62"/>
  <c r="I88" i="62" s="1"/>
  <c r="J89" i="62"/>
  <c r="I89" i="62" s="1"/>
  <c r="J90" i="66"/>
  <c r="I90" i="66" s="1"/>
  <c r="J91" i="66"/>
  <c r="I91" i="66" s="1"/>
  <c r="J90" i="64"/>
  <c r="I90" i="64" s="1"/>
  <c r="J91" i="64"/>
  <c r="I91" i="64" s="1"/>
  <c r="J92" i="63"/>
  <c r="I92" i="63" s="1"/>
  <c r="J93" i="63"/>
  <c r="I93" i="63" s="1"/>
  <c r="J92" i="51"/>
  <c r="I92" i="51" s="1"/>
  <c r="J93" i="51"/>
  <c r="I93" i="51" s="1"/>
  <c r="J74" i="65"/>
  <c r="I74" i="65" s="1"/>
  <c r="J75" i="65"/>
  <c r="I75" i="65" s="1"/>
  <c r="J74" i="61"/>
  <c r="I74" i="61" s="1"/>
  <c r="J75" i="61"/>
  <c r="I75" i="61" s="1"/>
  <c r="J70" i="66"/>
  <c r="I70" i="66" s="1"/>
  <c r="J71" i="66"/>
  <c r="I71" i="66" s="1"/>
  <c r="J70" i="64"/>
  <c r="I70" i="64" s="1"/>
  <c r="J71" i="64"/>
  <c r="I71" i="64" s="1"/>
  <c r="J108" i="68"/>
  <c r="I108" i="68" s="1"/>
  <c r="J87" i="68"/>
  <c r="I87" i="68" s="1"/>
  <c r="J71" i="68"/>
  <c r="I71" i="68" s="1"/>
  <c r="O73" i="71" l="1"/>
  <c r="O70" i="71"/>
  <c r="O73" i="70"/>
  <c r="O70" i="70"/>
  <c r="O73" i="68"/>
  <c r="O70" i="68"/>
  <c r="O73" i="66"/>
  <c r="O70" i="66"/>
  <c r="O73" i="67"/>
  <c r="O70" i="67"/>
  <c r="O73" i="69"/>
  <c r="O70" i="69"/>
  <c r="O73" i="65"/>
  <c r="O70" i="65"/>
  <c r="O73" i="51"/>
  <c r="O70" i="51"/>
  <c r="O73" i="64"/>
  <c r="O70" i="64"/>
  <c r="O73" i="62"/>
  <c r="O70" i="62"/>
  <c r="O73" i="61"/>
  <c r="O70" i="61"/>
  <c r="O73" i="63"/>
  <c r="O70" i="63"/>
  <c r="O73" i="60"/>
  <c r="O70" i="60"/>
</calcChain>
</file>

<file path=xl/sharedStrings.xml><?xml version="1.0" encoding="utf-8"?>
<sst xmlns="http://schemas.openxmlformats.org/spreadsheetml/2006/main" count="16080" uniqueCount="544">
  <si>
    <t>Register_End</t>
    <phoneticPr fontId="2" type="noConversion"/>
  </si>
  <si>
    <t>N</t>
    <phoneticPr fontId="2" type="noConversion"/>
  </si>
  <si>
    <t>N/A</t>
    <phoneticPr fontId="2" type="noConversion"/>
  </si>
  <si>
    <t>Sub-Bank</t>
    <phoneticPr fontId="2" type="noConversion"/>
  </si>
  <si>
    <t>Base</t>
    <phoneticPr fontId="2" type="noConversion"/>
  </si>
  <si>
    <t>Register_Name</t>
    <phoneticPr fontId="2" type="noConversion"/>
  </si>
  <si>
    <t>ChipVersion</t>
    <phoneticPr fontId="2" type="noConversion"/>
  </si>
  <si>
    <t>Excel CodeGen Version:</t>
    <phoneticPr fontId="2" type="noConversion"/>
  </si>
  <si>
    <t>1.01</t>
    <phoneticPr fontId="2" type="noConversion"/>
  </si>
  <si>
    <t>Excel SW Version:</t>
    <phoneticPr fontId="2" type="noConversion"/>
  </si>
  <si>
    <t>Sub IP</t>
    <phoneticPr fontId="2" type="noConversion"/>
  </si>
  <si>
    <t>Reg Name</t>
    <phoneticPr fontId="2" type="noConversion"/>
  </si>
  <si>
    <t>Description</t>
    <phoneticPr fontId="2" type="noConversion"/>
  </si>
  <si>
    <t>RegName</t>
    <phoneticPr fontId="2" type="noConversion"/>
  </si>
  <si>
    <t>Bank</t>
    <phoneticPr fontId="2" type="noConversion"/>
  </si>
  <si>
    <t>Address</t>
  </si>
  <si>
    <t>Byte</t>
    <phoneticPr fontId="2" type="noConversion"/>
  </si>
  <si>
    <t>Mask</t>
    <phoneticPr fontId="2" type="noConversion"/>
  </si>
  <si>
    <t>Panel_End</t>
    <phoneticPr fontId="2" type="noConversion"/>
  </si>
  <si>
    <t>CaseGen Ver.</t>
    <phoneticPr fontId="2" type="noConversion"/>
  </si>
  <si>
    <t>MapGen Ver.</t>
    <phoneticPr fontId="2" type="noConversion"/>
  </si>
  <si>
    <t>1.05</t>
    <phoneticPr fontId="2" type="noConversion"/>
  </si>
  <si>
    <t>IP_Name</t>
    <phoneticPr fontId="2" type="noConversion"/>
  </si>
  <si>
    <t>FileName</t>
    <phoneticPr fontId="2" type="noConversion"/>
  </si>
  <si>
    <t>NORMAL</t>
    <phoneticPr fontId="2" type="noConversion"/>
  </si>
  <si>
    <t>FullHeader</t>
    <phoneticPr fontId="2" type="noConversion"/>
  </si>
  <si>
    <t>Pre_ENUM</t>
    <phoneticPr fontId="2" type="noConversion"/>
  </si>
  <si>
    <t>TYPE</t>
    <phoneticPr fontId="2" type="noConversion"/>
  </si>
  <si>
    <t>Group</t>
    <phoneticPr fontId="2" type="noConversion"/>
  </si>
  <si>
    <t>ALL</t>
    <phoneticPr fontId="2" type="noConversion"/>
  </si>
  <si>
    <t>Timing Type</t>
    <phoneticPr fontId="2" type="noConversion"/>
  </si>
  <si>
    <t>Support (Y/N)</t>
    <phoneticPr fontId="2" type="noConversion"/>
  </si>
  <si>
    <t>Y</t>
    <phoneticPr fontId="2" type="noConversion"/>
  </si>
  <si>
    <t>0xFF</t>
  </si>
  <si>
    <t>Y</t>
    <phoneticPr fontId="2" type="noConversion"/>
  </si>
  <si>
    <t>480_60P</t>
    <phoneticPr fontId="2" type="noConversion"/>
  </si>
  <si>
    <t>1080_60P</t>
    <phoneticPr fontId="2" type="noConversion"/>
  </si>
  <si>
    <t>-</t>
  </si>
  <si>
    <t>L</t>
  </si>
  <si>
    <t>0x00</t>
    <phoneticPr fontId="2" type="noConversion"/>
  </si>
  <si>
    <t>H</t>
    <phoneticPr fontId="2" type="noConversion"/>
  </si>
  <si>
    <t>0x01</t>
    <phoneticPr fontId="2" type="noConversion"/>
  </si>
  <si>
    <t>720_60P</t>
    <phoneticPr fontId="2" type="noConversion"/>
  </si>
  <si>
    <t>0x1126</t>
    <phoneticPr fontId="2" type="noConversion"/>
  </si>
  <si>
    <t>0x1125</t>
    <phoneticPr fontId="2" type="noConversion"/>
  </si>
  <si>
    <t>0x1127</t>
    <phoneticPr fontId="2" type="noConversion"/>
  </si>
  <si>
    <t>0x1128</t>
    <phoneticPr fontId="2" type="noConversion"/>
  </si>
  <si>
    <t>0x16</t>
    <phoneticPr fontId="2" type="noConversion"/>
  </si>
  <si>
    <t>0xf0</t>
    <phoneticPr fontId="2" type="noConversion"/>
  </si>
  <si>
    <t>reg_discdet_en_ch</t>
    <phoneticPr fontId="2" type="noConversion"/>
  </si>
  <si>
    <t>reg_din_en_pstdrv_tap1/0_ch</t>
    <phoneticPr fontId="2" type="noConversion"/>
  </si>
  <si>
    <t>reg_din_en_pstdrv_tap2_ch</t>
    <phoneticPr fontId="2" type="noConversion"/>
  </si>
  <si>
    <t>disconnect function</t>
  </si>
  <si>
    <t>0x00</t>
    <phoneticPr fontId="2" type="noConversion"/>
  </si>
  <si>
    <t>0x17</t>
    <phoneticPr fontId="2" type="noConversion"/>
  </si>
  <si>
    <t>0x08</t>
    <phoneticPr fontId="2" type="noConversion"/>
  </si>
  <si>
    <t>reg_gcr_ictrl_sel_tap0_ch0</t>
    <phoneticPr fontId="2" type="noConversion"/>
  </si>
  <si>
    <t>0x20</t>
    <phoneticPr fontId="2" type="noConversion"/>
  </si>
  <si>
    <t>reg_gcr_ictrl_sel_tap0_ch1</t>
    <phoneticPr fontId="2" type="noConversion"/>
  </si>
  <si>
    <t>reg_gcr_ictrl_sel_tap0_ch2</t>
    <phoneticPr fontId="2" type="noConversion"/>
  </si>
  <si>
    <t>reg_gcr_ictrl_sel_tap0_ch3</t>
    <phoneticPr fontId="2" type="noConversion"/>
  </si>
  <si>
    <t>0x21</t>
    <phoneticPr fontId="2" type="noConversion"/>
  </si>
  <si>
    <t>reg_gcr_ictrl_sel_tap1_ch0</t>
    <phoneticPr fontId="2" type="noConversion"/>
  </si>
  <si>
    <t>reg_gcr_ictrl_sel_tap1_ch1</t>
    <phoneticPr fontId="2" type="noConversion"/>
  </si>
  <si>
    <t>reg_gcr_ictrl_sel_tap1_ch2</t>
  </si>
  <si>
    <t>reg_gcr_ictrl_sel_tap1_ch3</t>
  </si>
  <si>
    <t>reg_gcr_ictrl_sel_tap2_ch0</t>
    <phoneticPr fontId="2" type="noConversion"/>
  </si>
  <si>
    <t>reg_gcr_ictrl_sel_tap2_ch1</t>
  </si>
  <si>
    <t>reg_gcr_ictrl_sel_tap2_ch2</t>
  </si>
  <si>
    <t>reg_gcr_ictrl_sel_tap2_ch3</t>
  </si>
  <si>
    <t>0x22</t>
    <phoneticPr fontId="2" type="noConversion"/>
  </si>
  <si>
    <t>0x14</t>
    <phoneticPr fontId="2" type="noConversion"/>
  </si>
  <si>
    <t>0x23</t>
    <phoneticPr fontId="2" type="noConversion"/>
  </si>
  <si>
    <t>0x24</t>
    <phoneticPr fontId="2" type="noConversion"/>
  </si>
  <si>
    <t>0x24</t>
    <phoneticPr fontId="2" type="noConversion"/>
  </si>
  <si>
    <t>0x25</t>
    <phoneticPr fontId="2" type="noConversion"/>
  </si>
  <si>
    <t>0x25</t>
    <phoneticPr fontId="2" type="noConversion"/>
  </si>
  <si>
    <t>reg_vclamp_drv_en_ch</t>
    <phoneticPr fontId="2" type="noConversion"/>
  </si>
  <si>
    <t>clamp function enable</t>
    <phoneticPr fontId="2" type="noConversion"/>
  </si>
  <si>
    <t>0x0f</t>
    <phoneticPr fontId="2" type="noConversion"/>
  </si>
  <si>
    <t>reg_pd_pstdrv_tap1/0_ch</t>
    <phoneticPr fontId="2" type="noConversion"/>
  </si>
  <si>
    <t>0x30</t>
    <phoneticPr fontId="2" type="noConversion"/>
  </si>
  <si>
    <t>0x0f</t>
    <phoneticPr fontId="2" type="noConversion"/>
  </si>
  <si>
    <t>reg_pd_pstdrv_tap2_ch</t>
    <phoneticPr fontId="2" type="noConversion"/>
  </si>
  <si>
    <t>0x31</t>
    <phoneticPr fontId="2" type="noConversion"/>
  </si>
  <si>
    <t>0x31</t>
    <phoneticPr fontId="2" type="noConversion"/>
  </si>
  <si>
    <t>0x0f</t>
    <phoneticPr fontId="2" type="noConversion"/>
  </si>
  <si>
    <t>reg_pd_predrv_tap2_ch</t>
    <phoneticPr fontId="2" type="noConversion"/>
  </si>
  <si>
    <t>reg_pd_predrv_tap1/0_ch</t>
    <phoneticPr fontId="2" type="noConversion"/>
  </si>
  <si>
    <t>0x32</t>
    <phoneticPr fontId="2" type="noConversion"/>
  </si>
  <si>
    <t>0x32</t>
    <phoneticPr fontId="2" type="noConversion"/>
  </si>
  <si>
    <t>0x33</t>
    <phoneticPr fontId="2" type="noConversion"/>
  </si>
  <si>
    <t>reg_pd_ldo_clktree</t>
    <phoneticPr fontId="2" type="noConversion"/>
  </si>
  <si>
    <t>0x34</t>
    <phoneticPr fontId="2" type="noConversion"/>
  </si>
  <si>
    <t>reg_pd_hdmitxpll</t>
    <phoneticPr fontId="2" type="noConversion"/>
  </si>
  <si>
    <t>0x35</t>
    <phoneticPr fontId="2" type="noConversion"/>
  </si>
  <si>
    <t>0x39</t>
    <phoneticPr fontId="2" type="noConversion"/>
  </si>
  <si>
    <t>reg_gcr_predrv_slewrate_ctrl_ch1/0</t>
    <phoneticPr fontId="2" type="noConversion"/>
  </si>
  <si>
    <t>reg_gcr_predrv_slewrate_ctrl_ch3/2</t>
    <phoneticPr fontId="2" type="noConversion"/>
  </si>
  <si>
    <t>0x39</t>
    <phoneticPr fontId="2" type="noConversion"/>
  </si>
  <si>
    <t>0x33</t>
    <phoneticPr fontId="2" type="noConversion"/>
  </si>
  <si>
    <t>0x03</t>
    <phoneticPr fontId="2" type="noConversion"/>
  </si>
  <si>
    <t>reg_gcr_mux_tap_en_ch1/0</t>
    <phoneticPr fontId="2" type="noConversion"/>
  </si>
  <si>
    <t>reg_gcr_mux_tap_en_ch3/2</t>
    <phoneticPr fontId="2" type="noConversion"/>
  </si>
  <si>
    <t>0x22</t>
    <phoneticPr fontId="2" type="noConversion"/>
  </si>
  <si>
    <t>reg_ckg_hdmi_tx_atop</t>
    <phoneticPr fontId="2" type="noConversion"/>
  </si>
  <si>
    <t>hdmi atop wp dig clock ckg</t>
    <phoneticPr fontId="2" type="noConversion"/>
  </si>
  <si>
    <t>0x1038</t>
    <phoneticPr fontId="2" type="noConversion"/>
  </si>
  <si>
    <t>clk_432</t>
    <phoneticPr fontId="2" type="noConversion"/>
  </si>
  <si>
    <t>enable clock 432 for synth</t>
    <phoneticPr fontId="2" type="noConversion"/>
  </si>
  <si>
    <t>0x53</t>
    <phoneticPr fontId="2" type="noConversion"/>
  </si>
  <si>
    <t>hdmi atop (common)</t>
    <phoneticPr fontId="2" type="noConversion"/>
  </si>
  <si>
    <t>resolution related</t>
    <phoneticPr fontId="2" type="noConversion"/>
  </si>
  <si>
    <t>synthesizer set</t>
    <phoneticPr fontId="2" type="noConversion"/>
  </si>
  <si>
    <t>reg_syn_set[7:0]</t>
    <phoneticPr fontId="2" type="noConversion"/>
  </si>
  <si>
    <t>reg_syn_set[15:8]</t>
    <phoneticPr fontId="2" type="noConversion"/>
  </si>
  <si>
    <t>reg_syn_set[23:16]</t>
    <phoneticPr fontId="2" type="noConversion"/>
  </si>
  <si>
    <t>0x10</t>
    <phoneticPr fontId="2" type="noConversion"/>
  </si>
  <si>
    <t>0x10</t>
    <phoneticPr fontId="2" type="noConversion"/>
  </si>
  <si>
    <t>0x11</t>
    <phoneticPr fontId="2" type="noConversion"/>
  </si>
  <si>
    <t>0x06</t>
    <phoneticPr fontId="2" type="noConversion"/>
  </si>
  <si>
    <t>0x06</t>
    <phoneticPr fontId="2" type="noConversion"/>
  </si>
  <si>
    <t>reg_hdmi_syn_ssc_step[7:0]</t>
    <phoneticPr fontId="2" type="noConversion"/>
  </si>
  <si>
    <t>reg_hdmi_syn_ssc_step[10:8]</t>
    <phoneticPr fontId="2" type="noConversion"/>
  </si>
  <si>
    <t>synthesizer span</t>
    <phoneticPr fontId="2" type="noConversion"/>
  </si>
  <si>
    <t>0x05</t>
    <phoneticPr fontId="2" type="noConversion"/>
  </si>
  <si>
    <t>0x05</t>
    <phoneticPr fontId="2" type="noConversion"/>
  </si>
  <si>
    <t>0x0a</t>
    <phoneticPr fontId="2" type="noConversion"/>
  </si>
  <si>
    <t>synthesizer step</t>
    <phoneticPr fontId="2" type="noConversion"/>
  </si>
  <si>
    <t>reg_hdmi_syn_ssc_span[7:0]</t>
    <phoneticPr fontId="2" type="noConversion"/>
  </si>
  <si>
    <t>reg_hdmi_syn_ssc_span[14:8]</t>
    <phoneticPr fontId="2" type="noConversion"/>
  </si>
  <si>
    <t>0x01</t>
    <phoneticPr fontId="2" type="noConversion"/>
  </si>
  <si>
    <t>reg_gcr_hdmitxpll_loop_div_first[2:0]</t>
    <phoneticPr fontId="2" type="noConversion"/>
  </si>
  <si>
    <t>reg_gcr_hdmitxpll_loop_div_second[7:0]</t>
    <phoneticPr fontId="2" type="noConversion"/>
  </si>
  <si>
    <t>divider</t>
    <phoneticPr fontId="2" type="noConversion"/>
  </si>
  <si>
    <t>0x13</t>
    <phoneticPr fontId="2" type="noConversion"/>
  </si>
  <si>
    <t>[11:8]: reg_pd_ldo_mux_ch</t>
    <phoneticPr fontId="2" type="noConversion"/>
  </si>
  <si>
    <t>top clock gen (common)</t>
    <phoneticPr fontId="2" type="noConversion"/>
  </si>
  <si>
    <t>disp clk gen (common)</t>
    <phoneticPr fontId="2" type="noConversion"/>
  </si>
  <si>
    <t>reg_ckg_dac</t>
    <phoneticPr fontId="18" type="noConversion"/>
  </si>
  <si>
    <t>scaler clk_hdmi enable</t>
    <phoneticPr fontId="2" type="noConversion"/>
  </si>
  <si>
    <t>scaler clk_dac enable</t>
    <phoneticPr fontId="2" type="noConversion"/>
  </si>
  <si>
    <t>0x1133</t>
    <phoneticPr fontId="2" type="noConversion"/>
  </si>
  <si>
    <t>reg_ckg_hdmi</t>
    <phoneticPr fontId="18" type="noConversion"/>
  </si>
  <si>
    <t>0x36</t>
    <phoneticPr fontId="2" type="noConversion"/>
  </si>
  <si>
    <t>0x12</t>
    <phoneticPr fontId="2" type="noConversion"/>
  </si>
  <si>
    <t>0x14</t>
    <phoneticPr fontId="2" type="noConversion"/>
  </si>
  <si>
    <t>0x15</t>
    <phoneticPr fontId="2" type="noConversion"/>
  </si>
  <si>
    <t>0x18</t>
    <phoneticPr fontId="2" type="noConversion"/>
  </si>
  <si>
    <t>0x19</t>
    <phoneticPr fontId="2" type="noConversion"/>
  </si>
  <si>
    <t>13 bit</t>
    <phoneticPr fontId="2" type="noConversion"/>
  </si>
  <si>
    <t>hs start</t>
    <phoneticPr fontId="2" type="noConversion"/>
  </si>
  <si>
    <t>h total</t>
    <phoneticPr fontId="2" type="noConversion"/>
  </si>
  <si>
    <t>v total</t>
    <phoneticPr fontId="2" type="noConversion"/>
  </si>
  <si>
    <t>hs end</t>
    <phoneticPr fontId="2" type="noConversion"/>
  </si>
  <si>
    <t>vs start</t>
    <phoneticPr fontId="2" type="noConversion"/>
  </si>
  <si>
    <t>vs end</t>
    <phoneticPr fontId="2" type="noConversion"/>
  </si>
  <si>
    <t>vs end</t>
    <phoneticPr fontId="2" type="noConversion"/>
  </si>
  <si>
    <t>hfde start</t>
    <phoneticPr fontId="2" type="noConversion"/>
  </si>
  <si>
    <t>hfde start</t>
    <phoneticPr fontId="2" type="noConversion"/>
  </si>
  <si>
    <t>hfde end</t>
    <phoneticPr fontId="2" type="noConversion"/>
  </si>
  <si>
    <t>vfde start</t>
    <phoneticPr fontId="2" type="noConversion"/>
  </si>
  <si>
    <t>vfde end</t>
    <phoneticPr fontId="2" type="noConversion"/>
  </si>
  <si>
    <t>0x02</t>
    <phoneticPr fontId="2" type="noConversion"/>
  </si>
  <si>
    <t>0x0a</t>
    <phoneticPr fontId="2" type="noConversion"/>
  </si>
  <si>
    <t>0x07</t>
    <phoneticPr fontId="2" type="noConversion"/>
  </si>
  <si>
    <t>[2:0]: reg_gcr_hdmitxpll_output_div
[3]: reg_gcr_hdmitxpll_porst
[6:4]: reg_gcr_hdmitxpll_tmds_div</t>
    <phoneticPr fontId="2" type="noConversion"/>
  </si>
  <si>
    <t>[3:0]: reg_pd_drv_biasgen_ch
[7:4]: reg_pd_biasgen</t>
    <phoneticPr fontId="2" type="noConversion"/>
  </si>
  <si>
    <t>[3:0]: reg_pd_rterm_ch
[7:4]: reg_pd_ldo_predrv_ch</t>
    <phoneticPr fontId="2" type="noConversion"/>
  </si>
  <si>
    <t>0x04</t>
    <phoneticPr fontId="2" type="noConversion"/>
  </si>
  <si>
    <t>0x29</t>
    <phoneticPr fontId="2" type="noConversion"/>
  </si>
  <si>
    <t>0x00</t>
    <phoneticPr fontId="2" type="noConversion"/>
  </si>
  <si>
    <t>input div first</t>
    <phoneticPr fontId="2" type="noConversion"/>
  </si>
  <si>
    <t>loop div first</t>
    <phoneticPr fontId="2" type="noConversion"/>
  </si>
  <si>
    <t>loop div second</t>
    <phoneticPr fontId="2" type="noConversion"/>
  </si>
  <si>
    <t>0x37</t>
    <phoneticPr fontId="2" type="noConversion"/>
  </si>
  <si>
    <t>post div</t>
    <phoneticPr fontId="2" type="noConversion"/>
  </si>
  <si>
    <t>idac pll</t>
    <phoneticPr fontId="2" type="noConversion"/>
  </si>
  <si>
    <t>idac atop (common)</t>
    <phoneticPr fontId="2" type="noConversion"/>
  </si>
  <si>
    <t>reg_en_idac_r/g/b</t>
    <phoneticPr fontId="2" type="noConversion"/>
  </si>
  <si>
    <t>reg_en_idac_ref</t>
    <phoneticPr fontId="2" type="noConversion"/>
  </si>
  <si>
    <t>reg_pd_idac_ldo</t>
    <phoneticPr fontId="2" type="noConversion"/>
  </si>
  <si>
    <t>reg_ckg_dac_atop</t>
    <phoneticPr fontId="2" type="noConversion"/>
  </si>
  <si>
    <t>0x1129</t>
    <phoneticPr fontId="2" type="noConversion"/>
  </si>
  <si>
    <t>scaler (pat gen)</t>
    <phoneticPr fontId="2" type="noConversion"/>
  </si>
  <si>
    <t>0x12</t>
    <phoneticPr fontId="2" type="noConversion"/>
  </si>
  <si>
    <t>0x13</t>
    <phoneticPr fontId="2" type="noConversion"/>
  </si>
  <si>
    <t>0x13</t>
    <phoneticPr fontId="2" type="noConversion"/>
  </si>
  <si>
    <t>0x14</t>
    <phoneticPr fontId="2" type="noConversion"/>
  </si>
  <si>
    <t>0x15</t>
    <phoneticPr fontId="2" type="noConversion"/>
  </si>
  <si>
    <t>0x16</t>
    <phoneticPr fontId="2" type="noConversion"/>
  </si>
  <si>
    <t>0x17</t>
    <phoneticPr fontId="2" type="noConversion"/>
  </si>
  <si>
    <t>0x17</t>
    <phoneticPr fontId="2" type="noConversion"/>
  </si>
  <si>
    <t>0x18</t>
    <phoneticPr fontId="2" type="noConversion"/>
  </si>
  <si>
    <t>0x19</t>
    <phoneticPr fontId="2" type="noConversion"/>
  </si>
  <si>
    <t>0x05</t>
    <phoneticPr fontId="2" type="noConversion"/>
  </si>
  <si>
    <t>13 bit</t>
    <phoneticPr fontId="2" type="noConversion"/>
  </si>
  <si>
    <t>w0 hde start</t>
    <phoneticPr fontId="2" type="noConversion"/>
  </si>
  <si>
    <t>w0 hde end</t>
    <phoneticPr fontId="2" type="noConversion"/>
  </si>
  <si>
    <t>w0 vde start</t>
    <phoneticPr fontId="2" type="noConversion"/>
  </si>
  <si>
    <t>w0 vde start</t>
    <phoneticPr fontId="2" type="noConversion"/>
  </si>
  <si>
    <t>w0 vde end</t>
    <phoneticPr fontId="2" type="noConversion"/>
  </si>
  <si>
    <t>w0 vde end</t>
    <phoneticPr fontId="2" type="noConversion"/>
  </si>
  <si>
    <t>dac hs start</t>
    <phoneticPr fontId="2" type="noConversion"/>
  </si>
  <si>
    <t>dac hs start</t>
    <phoneticPr fontId="2" type="noConversion"/>
  </si>
  <si>
    <t>dac hs end</t>
    <phoneticPr fontId="2" type="noConversion"/>
  </si>
  <si>
    <t>dac hs end</t>
    <phoneticPr fontId="2" type="noConversion"/>
  </si>
  <si>
    <t>0x23</t>
    <phoneticPr fontId="2" type="noConversion"/>
  </si>
  <si>
    <t>0x23</t>
    <phoneticPr fontId="2" type="noConversion"/>
  </si>
  <si>
    <t>0x24</t>
    <phoneticPr fontId="2" type="noConversion"/>
  </si>
  <si>
    <t>dac hfde start</t>
    <phoneticPr fontId="2" type="noConversion"/>
  </si>
  <si>
    <t>dac hfde start</t>
    <phoneticPr fontId="2" type="noConversion"/>
  </si>
  <si>
    <t>dac hfde end</t>
    <phoneticPr fontId="2" type="noConversion"/>
  </si>
  <si>
    <t>dac hfde end</t>
    <phoneticPr fontId="2" type="noConversion"/>
  </si>
  <si>
    <t>dac vfde start</t>
    <phoneticPr fontId="2" type="noConversion"/>
  </si>
  <si>
    <t>dac vfde end</t>
    <phoneticPr fontId="2" type="noConversion"/>
  </si>
  <si>
    <t>dac vfde end</t>
    <phoneticPr fontId="2" type="noConversion"/>
  </si>
  <si>
    <t>0x27</t>
    <phoneticPr fontId="2" type="noConversion"/>
  </si>
  <si>
    <t>0x27</t>
    <phoneticPr fontId="2" type="noConversion"/>
  </si>
  <si>
    <t>0x28</t>
    <phoneticPr fontId="2" type="noConversion"/>
  </si>
  <si>
    <t>0x29</t>
    <phoneticPr fontId="2" type="noConversion"/>
  </si>
  <si>
    <t>patgen enable</t>
    <phoneticPr fontId="2" type="noConversion"/>
  </si>
  <si>
    <t>0x07</t>
    <phoneticPr fontId="2" type="noConversion"/>
  </si>
  <si>
    <t>trun off reset</t>
    <phoneticPr fontId="2" type="noConversion"/>
  </si>
  <si>
    <t>fpll</t>
    <phoneticPr fontId="2" type="noConversion"/>
  </si>
  <si>
    <t>set fpll en</t>
    <phoneticPr fontId="2" type="noConversion"/>
  </si>
  <si>
    <t>0x02</t>
    <phoneticPr fontId="2" type="noConversion"/>
  </si>
  <si>
    <t>0x01</t>
    <phoneticPr fontId="2" type="noConversion"/>
  </si>
  <si>
    <t>0x11</t>
    <phoneticPr fontId="2" type="noConversion"/>
  </si>
  <si>
    <t>0x01</t>
    <phoneticPr fontId="2" type="noConversion"/>
  </si>
  <si>
    <t>INIT_HDMITX_ATOP</t>
    <phoneticPr fontId="2" type="noConversion"/>
  </si>
  <si>
    <t>INIT_HDMITX_ATOP</t>
    <phoneticPr fontId="2" type="noConversion"/>
  </si>
  <si>
    <t>INIT_IDAC_ATOP</t>
    <phoneticPr fontId="2" type="noConversion"/>
  </si>
  <si>
    <t>INIT_IDAC_ATOP</t>
    <phoneticPr fontId="2" type="noConversion"/>
  </si>
  <si>
    <t>INIT_SCALER_TGEN</t>
    <phoneticPr fontId="2" type="noConversion"/>
  </si>
  <si>
    <t>INIT_SCALER_TGEN</t>
    <phoneticPr fontId="2" type="noConversion"/>
  </si>
  <si>
    <t>fpll</t>
    <phoneticPr fontId="2" type="noConversion"/>
  </si>
  <si>
    <t>format 4.8</t>
    <phoneticPr fontId="2" type="noConversion"/>
  </si>
  <si>
    <t>step gain[7:0]</t>
    <phoneticPr fontId="2" type="noConversion"/>
  </si>
  <si>
    <t>step gain[11:8]</t>
    <phoneticPr fontId="2" type="noConversion"/>
  </si>
  <si>
    <t>0x03</t>
    <phoneticPr fontId="2" type="noConversion"/>
  </si>
  <si>
    <t>0x63</t>
    <phoneticPr fontId="2" type="noConversion"/>
  </si>
  <si>
    <t>0x05</t>
    <phoneticPr fontId="2" type="noConversion"/>
  </si>
  <si>
    <t>0x01</t>
    <phoneticPr fontId="2" type="noConversion"/>
  </si>
  <si>
    <t>0x12</t>
    <phoneticPr fontId="2" type="noConversion"/>
  </si>
  <si>
    <t>0x02</t>
    <phoneticPr fontId="2" type="noConversion"/>
  </si>
  <si>
    <t>0x05</t>
    <phoneticPr fontId="2" type="noConversion"/>
  </si>
  <si>
    <t>0x12</t>
    <phoneticPr fontId="2" type="noConversion"/>
  </si>
  <si>
    <t>0x01</t>
    <phoneticPr fontId="2" type="noConversion"/>
  </si>
  <si>
    <t>0x05</t>
    <phoneticPr fontId="2" type="noConversion"/>
  </si>
  <si>
    <t>0x12</t>
    <phoneticPr fontId="2" type="noConversion"/>
  </si>
  <si>
    <t>0x12</t>
    <phoneticPr fontId="2" type="noConversion"/>
  </si>
  <si>
    <t>0x01</t>
    <phoneticPr fontId="2" type="noConversion"/>
  </si>
  <si>
    <t>0x05</t>
    <phoneticPr fontId="2" type="noConversion"/>
  </si>
  <si>
    <t>0x12</t>
    <phoneticPr fontId="2" type="noConversion"/>
  </si>
  <si>
    <t>0x01</t>
    <phoneticPr fontId="2" type="noConversion"/>
  </si>
  <si>
    <t>0x05</t>
    <phoneticPr fontId="2" type="noConversion"/>
  </si>
  <si>
    <t>0x12</t>
    <phoneticPr fontId="2" type="noConversion"/>
  </si>
  <si>
    <t>720_50P</t>
    <phoneticPr fontId="2" type="noConversion"/>
  </si>
  <si>
    <t>1080_30P</t>
    <phoneticPr fontId="2" type="noConversion"/>
  </si>
  <si>
    <t>1080_50P</t>
    <phoneticPr fontId="2" type="noConversion"/>
  </si>
  <si>
    <t>1024x768_60P</t>
    <phoneticPr fontId="2" type="noConversion"/>
  </si>
  <si>
    <t>1280x800_60P</t>
    <phoneticPr fontId="2" type="noConversion"/>
  </si>
  <si>
    <t>1280x1024_60P</t>
    <phoneticPr fontId="2" type="noConversion"/>
  </si>
  <si>
    <t>1366x768_60P</t>
    <phoneticPr fontId="2" type="noConversion"/>
  </si>
  <si>
    <t>1440x900_60P</t>
    <phoneticPr fontId="2" type="noConversion"/>
  </si>
  <si>
    <t>1680x1050_60P</t>
    <phoneticPr fontId="2" type="noConversion"/>
  </si>
  <si>
    <t>1600x1200_60P</t>
    <phoneticPr fontId="2" type="noConversion"/>
  </si>
  <si>
    <t>0x3B</t>
    <phoneticPr fontId="2" type="noConversion"/>
  </si>
  <si>
    <t>0x3B</t>
    <phoneticPr fontId="2" type="noConversion"/>
  </si>
  <si>
    <t>0x3B</t>
    <phoneticPr fontId="2" type="noConversion"/>
  </si>
  <si>
    <t>0x3B</t>
    <phoneticPr fontId="2" type="noConversion"/>
  </si>
  <si>
    <t>0x1C</t>
    <phoneticPr fontId="2" type="noConversion"/>
  </si>
  <si>
    <t>0x1C</t>
    <phoneticPr fontId="2" type="noConversion"/>
  </si>
  <si>
    <t>0x1C</t>
    <phoneticPr fontId="2" type="noConversion"/>
  </si>
  <si>
    <t>0x1C</t>
    <phoneticPr fontId="2" type="noConversion"/>
  </si>
  <si>
    <t>0x1C</t>
    <phoneticPr fontId="2" type="noConversion"/>
  </si>
  <si>
    <t>0x1D</t>
    <phoneticPr fontId="2" type="noConversion"/>
  </si>
  <si>
    <t>0x1D</t>
    <phoneticPr fontId="2" type="noConversion"/>
  </si>
  <si>
    <t>0x1F</t>
    <phoneticPr fontId="2" type="noConversion"/>
  </si>
  <si>
    <t>0x1F</t>
    <phoneticPr fontId="2" type="noConversion"/>
  </si>
  <si>
    <t>0x1F</t>
    <phoneticPr fontId="2" type="noConversion"/>
  </si>
  <si>
    <t>0x1F</t>
    <phoneticPr fontId="2" type="noConversion"/>
  </si>
  <si>
    <t>0x1A</t>
    <phoneticPr fontId="2" type="noConversion"/>
  </si>
  <si>
    <t>0x1A</t>
    <phoneticPr fontId="2" type="noConversion"/>
  </si>
  <si>
    <t>0x1A</t>
    <phoneticPr fontId="2" type="noConversion"/>
  </si>
  <si>
    <t>0x1C</t>
    <phoneticPr fontId="2" type="noConversion"/>
  </si>
  <si>
    <t>0x1E</t>
    <phoneticPr fontId="2" type="noConversion"/>
  </si>
  <si>
    <t>0x1E</t>
    <phoneticPr fontId="2" type="noConversion"/>
  </si>
  <si>
    <t>0x1E</t>
    <phoneticPr fontId="2" type="noConversion"/>
  </si>
  <si>
    <t>0x1E</t>
    <phoneticPr fontId="2" type="noConversion"/>
  </si>
  <si>
    <t>0x1E</t>
    <phoneticPr fontId="2" type="noConversion"/>
  </si>
  <si>
    <t>0x1F</t>
    <phoneticPr fontId="2" type="noConversion"/>
  </si>
  <si>
    <t>0x2A</t>
    <phoneticPr fontId="2" type="noConversion"/>
  </si>
  <si>
    <t>0x2A</t>
    <phoneticPr fontId="2" type="noConversion"/>
  </si>
  <si>
    <t>0x2A</t>
    <phoneticPr fontId="2" type="noConversion"/>
  </si>
  <si>
    <t>SKIP</t>
    <phoneticPr fontId="2" type="noConversion"/>
  </si>
  <si>
    <t>hal_disp_vga_timing_tbl</t>
    <phoneticPr fontId="2" type="noConversion"/>
  </si>
  <si>
    <t>HAL_DISP_VGA</t>
    <phoneticPr fontId="2" type="noConversion"/>
  </si>
  <si>
    <t>0x2C</t>
    <phoneticPr fontId="2" type="noConversion"/>
  </si>
  <si>
    <t>0x2C</t>
    <phoneticPr fontId="2" type="noConversion"/>
  </si>
  <si>
    <t>I2M</t>
    <phoneticPr fontId="2" type="noConversion"/>
  </si>
  <si>
    <t>DISP_TOP_OP2_TB</t>
  </si>
  <si>
    <t>CLKGEN_TB</t>
  </si>
  <si>
    <t>SC_GP_CTRL_TB</t>
  </si>
  <si>
    <t>DISP_TOP_TB</t>
  </si>
  <si>
    <t>DAC_ATOP_TB</t>
  </si>
  <si>
    <t>HDMITX_DTOP_TB</t>
  </si>
  <si>
    <t>HDMITX_ATOP_TB</t>
  </si>
  <si>
    <t>H</t>
    <phoneticPr fontId="2" type="noConversion"/>
  </si>
  <si>
    <t>H</t>
    <phoneticPr fontId="2" type="noConversion"/>
  </si>
  <si>
    <t>0x00</t>
    <phoneticPr fontId="2" type="noConversion"/>
  </si>
  <si>
    <t>0x00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</si>
  <si>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</si>
  <si>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</si>
  <si>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</si>
  <si>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</si>
  <si>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</si>
  <si>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V</t>
    <phoneticPr fontId="2" type="noConversion"/>
  </si>
  <si>
    <t>FPS</t>
    <phoneticPr fontId="2" type="noConversion"/>
  </si>
  <si>
    <t>Sync</t>
    <phoneticPr fontId="2" type="noConversion"/>
  </si>
  <si>
    <t>Total</t>
    <phoneticPr fontId="2" type="noConversion"/>
  </si>
  <si>
    <t>Sync</t>
    <phoneticPr fontId="2" type="noConversion"/>
  </si>
  <si>
    <t>BackPorch</t>
    <phoneticPr fontId="2" type="noConversion"/>
  </si>
  <si>
    <t>H</t>
    <phoneticPr fontId="2" type="noConversion"/>
  </si>
  <si>
    <t>Sync</t>
    <phoneticPr fontId="2" type="noConversion"/>
  </si>
  <si>
    <t>BackPorch</t>
    <phoneticPr fontId="2" type="noConversion"/>
  </si>
  <si>
    <t>Active</t>
    <phoneticPr fontId="2" type="noConversion"/>
  </si>
  <si>
    <t>V</t>
    <phoneticPr fontId="2" type="noConversion"/>
  </si>
  <si>
    <t>Sync</t>
    <phoneticPr fontId="2" type="noConversion"/>
  </si>
  <si>
    <t>Total</t>
    <phoneticPr fontId="2" type="noConversion"/>
  </si>
  <si>
    <t>FPS</t>
    <phoneticPr fontId="2" type="noConversion"/>
  </si>
  <si>
    <t>H</t>
    <phoneticPr fontId="2" type="noConversion"/>
  </si>
  <si>
    <t>BackPorch</t>
    <phoneticPr fontId="2" type="noConversion"/>
  </si>
  <si>
    <t>Active</t>
    <phoneticPr fontId="2" type="noConversion"/>
  </si>
  <si>
    <t>FrontPorch</t>
    <phoneticPr fontId="2" type="noConversion"/>
  </si>
  <si>
    <t>Total</t>
    <phoneticPr fontId="2" type="noConversion"/>
  </si>
  <si>
    <t>Total</t>
    <phoneticPr fontId="2" type="noConversion"/>
  </si>
  <si>
    <t>Sync</t>
    <phoneticPr fontId="2" type="noConversion"/>
  </si>
  <si>
    <t>Active</t>
    <phoneticPr fontId="2" type="noConversion"/>
  </si>
  <si>
    <t>FrontPorch</t>
    <phoneticPr fontId="2" type="noConversion"/>
  </si>
  <si>
    <t>FPS</t>
    <phoneticPr fontId="2" type="noConversion"/>
  </si>
  <si>
    <t>0x36</t>
    <phoneticPr fontId="2" type="noConversion"/>
  </si>
  <si>
    <t>idc</t>
    <phoneticPr fontId="2" type="noConversion"/>
  </si>
  <si>
    <t>idc</t>
    <phoneticPr fontId="2" type="noConversion"/>
  </si>
  <si>
    <t>power on</t>
    <phoneticPr fontId="2" type="noConversion"/>
  </si>
  <si>
    <t>power on</t>
    <phoneticPr fontId="2" type="noConversion"/>
  </si>
  <si>
    <t>0x1D</t>
    <phoneticPr fontId="2" type="noConversion"/>
  </si>
  <si>
    <t>0x01</t>
    <phoneticPr fontId="2" type="noConversion"/>
  </si>
  <si>
    <t>0x01</t>
    <phoneticPr fontId="2" type="noConversion"/>
  </si>
  <si>
    <t>0x01</t>
    <phoneticPr fontId="2" type="noConversion"/>
  </si>
  <si>
    <t>0x01</t>
    <phoneticPr fontId="2" type="noConversion"/>
  </si>
  <si>
    <t>half current mode</t>
    <phoneticPr fontId="2" type="noConversion"/>
  </si>
  <si>
    <t>gcr mode hd</t>
    <phoneticPr fontId="2" type="noConversion"/>
  </si>
  <si>
    <t>gcr mode hd</t>
    <phoneticPr fontId="2" type="noConversion"/>
  </si>
  <si>
    <t>CHIP_TOP_TB</t>
  </si>
  <si>
    <t>CHIP_TOP_TB</t>
    <phoneticPr fontId="2" type="noConversion"/>
  </si>
  <si>
    <t>0x101E</t>
    <phoneticPr fontId="2" type="noConversion"/>
  </si>
  <si>
    <t>0x0A</t>
    <phoneticPr fontId="2" type="noConversion"/>
  </si>
  <si>
    <t>0x01</t>
    <phoneticPr fontId="2" type="noConversion"/>
  </si>
  <si>
    <t>pad mux</t>
    <phoneticPr fontId="2" type="noConversion"/>
  </si>
  <si>
    <t>pad mux</t>
    <phoneticPr fontId="2" type="noConversion"/>
  </si>
  <si>
    <t>pad mux</t>
    <phoneticPr fontId="2" type="noConversion"/>
  </si>
  <si>
    <t>INIT_DAC_TGEN</t>
    <phoneticPr fontId="2" type="noConversion"/>
  </si>
  <si>
    <t>INIT_DAC_TGEN</t>
    <phoneticPr fontId="2" type="noConversion"/>
  </si>
  <si>
    <t>INIT_DAC_TGEN</t>
    <phoneticPr fontId="2" type="noConversion"/>
  </si>
  <si>
    <t>NORMAL</t>
    <phoneticPr fontId="2" type="noConversion"/>
  </si>
  <si>
    <t>0x01</t>
    <phoneticPr fontId="2" type="noConversion"/>
  </si>
  <si>
    <t>576_50P</t>
    <phoneticPr fontId="2" type="noConversion"/>
  </si>
  <si>
    <t>Y</t>
    <phoneticPr fontId="2" type="noConversion"/>
  </si>
  <si>
    <t>1080_24P</t>
    <phoneticPr fontId="2" type="noConversion"/>
  </si>
  <si>
    <t>1080_25P</t>
    <phoneticPr fontId="2" type="noConversion"/>
  </si>
  <si>
    <t>DAC_ATOP_TB</t>
    <phoneticPr fontId="2" type="noConversion"/>
  </si>
  <si>
    <t>INIT_SCALER_RST</t>
    <phoneticPr fontId="2" type="noConversion"/>
  </si>
  <si>
    <t>INIT_SCALER_RST</t>
    <phoneticPr fontId="2" type="noConversion"/>
  </si>
  <si>
    <t>INIT_SCALER_RST</t>
    <phoneticPr fontId="2" type="noConversion"/>
  </si>
  <si>
    <t>SynSet</t>
    <phoneticPr fontId="2" type="noConversion"/>
  </si>
  <si>
    <t>SynSet</t>
    <phoneticPr fontId="2" type="noConversion"/>
  </si>
  <si>
    <t>delta</t>
    <phoneticPr fontId="2" type="noConversion"/>
  </si>
  <si>
    <t>delta</t>
    <phoneticPr fontId="2" type="noConversion"/>
  </si>
  <si>
    <t>delta</t>
    <phoneticPr fontId="2" type="noConversion"/>
  </si>
  <si>
    <t>step_gain</t>
    <phoneticPr fontId="2" type="noConversion"/>
  </si>
  <si>
    <t>step_gain</t>
    <phoneticPr fontId="2" type="noConversion"/>
  </si>
  <si>
    <t>DIV</t>
    <phoneticPr fontId="2" type="noConversion"/>
  </si>
  <si>
    <t>0x01</t>
    <phoneticPr fontId="2" type="noConversion"/>
  </si>
  <si>
    <t>0x01</t>
    <phoneticPr fontId="2" type="noConversion"/>
  </si>
  <si>
    <t>scaler reset</t>
    <phoneticPr fontId="2" type="noConversion"/>
  </si>
  <si>
    <t>scaler reset</t>
    <phoneticPr fontId="2" type="noConversion"/>
  </si>
  <si>
    <t>scaler reset</t>
    <phoneticPr fontId="2" type="noConversion"/>
  </si>
  <si>
    <t>scaler reset</t>
    <phoneticPr fontId="2" type="noConversion"/>
  </si>
  <si>
    <t>scaler reset</t>
    <phoneticPr fontId="2" type="noConversion"/>
  </si>
  <si>
    <t>scaler reset</t>
    <phoneticPr fontId="2" type="noConversion"/>
  </si>
  <si>
    <t>fpll reset</t>
    <phoneticPr fontId="2" type="noConversion"/>
  </si>
  <si>
    <t>fpll reset</t>
    <phoneticPr fontId="2" type="noConversion"/>
  </si>
  <si>
    <t>fpll reset</t>
    <phoneticPr fontId="2" type="noConversion"/>
  </si>
  <si>
    <t>fpll reset</t>
    <phoneticPr fontId="2" type="noConversion"/>
  </si>
  <si>
    <t>0x15</t>
    <phoneticPr fontId="2" type="noConversion"/>
  </si>
  <si>
    <t>0x15</t>
    <phoneticPr fontId="2" type="noConversion"/>
  </si>
  <si>
    <t>0x80</t>
    <phoneticPr fontId="2" type="noConversion"/>
  </si>
  <si>
    <t>0x80</t>
    <phoneticPr fontId="2" type="noConversion"/>
  </si>
  <si>
    <t>0x80</t>
    <phoneticPr fontId="2" type="noConversion"/>
  </si>
  <si>
    <t>0x80</t>
    <phoneticPr fontId="2" type="noConversion"/>
  </si>
  <si>
    <t>0x80</t>
    <phoneticPr fontId="2" type="noConversion"/>
  </si>
  <si>
    <t>0x80</t>
    <phoneticPr fontId="2" type="noConversion"/>
  </si>
  <si>
    <t>0x80</t>
    <phoneticPr fontId="2" type="noConversion"/>
  </si>
  <si>
    <t>INIT_FPLL_CTRL</t>
    <phoneticPr fontId="2" type="noConversion"/>
  </si>
  <si>
    <t>INIT_FPLL_CTRL</t>
    <phoneticPr fontId="2" type="noConversion"/>
  </si>
  <si>
    <t>INIT_FPLL_CTRL</t>
    <phoneticPr fontId="2" type="noConversion"/>
  </si>
  <si>
    <t>INIT_FPLL_CTRL</t>
    <phoneticPr fontId="2" type="noConversion"/>
  </si>
  <si>
    <t>pad (common)</t>
    <phoneticPr fontId="2" type="noConversion"/>
  </si>
  <si>
    <t>pad (common)</t>
    <phoneticPr fontId="2" type="noConversion"/>
  </si>
  <si>
    <t>pad (common)</t>
    <phoneticPr fontId="2" type="noConversion"/>
  </si>
  <si>
    <t>0x10</t>
    <phoneticPr fontId="2" type="noConversion"/>
  </si>
  <si>
    <t>0x10</t>
    <phoneticPr fontId="2" type="noConversion"/>
  </si>
  <si>
    <t>0x10</t>
    <phoneticPr fontId="2" type="noConversion"/>
  </si>
  <si>
    <t>0xFF</t>
    <phoneticPr fontId="2" type="noConversion"/>
  </si>
  <si>
    <t>0xFF</t>
    <phoneticPr fontId="2" type="noConversion"/>
  </si>
  <si>
    <t>0xFF</t>
    <phoneticPr fontId="2" type="noConversion"/>
  </si>
  <si>
    <t>0xFF</t>
    <phoneticPr fontId="2" type="noConversion"/>
  </si>
  <si>
    <t>reg_tgen_fpll_dly</t>
  </si>
  <si>
    <t>fpll</t>
    <phoneticPr fontId="2" type="noConversion"/>
  </si>
  <si>
    <t>fpll</t>
    <phoneticPr fontId="2" type="noConversion"/>
  </si>
  <si>
    <t>reg_tgen_ext_frm_reset_en_dac</t>
    <phoneticPr fontId="2" type="noConversion"/>
  </si>
  <si>
    <t>reg_tgen_ext_frm_reset_en_dac</t>
    <phoneticPr fontId="2" type="noConversion"/>
  </si>
  <si>
    <t>0x40</t>
    <phoneticPr fontId="2" type="noConversion"/>
  </si>
  <si>
    <t>0x40</t>
    <phoneticPr fontId="2" type="noConversion"/>
  </si>
  <si>
    <t>0x40</t>
    <phoneticPr fontId="2" type="noConversion"/>
  </si>
  <si>
    <t>0x40</t>
    <phoneticPr fontId="2" type="noConversion"/>
  </si>
  <si>
    <t>0xD0</t>
    <phoneticPr fontId="2" type="noConversion"/>
  </si>
  <si>
    <t>fpll</t>
    <phoneticPr fontId="2" type="noConversion"/>
  </si>
  <si>
    <t>fpll</t>
    <phoneticPr fontId="2" type="noConversion"/>
  </si>
  <si>
    <t>0x1B</t>
    <phoneticPr fontId="2" type="noConversion"/>
  </si>
  <si>
    <t>0x1B</t>
    <phoneticPr fontId="2" type="noConversion"/>
  </si>
  <si>
    <t>0x08</t>
    <phoneticPr fontId="2" type="noConversion"/>
  </si>
  <si>
    <t>rreg_fpll_phase_lock_thd</t>
    <phoneticPr fontId="2" type="noConversion"/>
  </si>
  <si>
    <t>rreg_fpll_phase_lock_thd</t>
    <phoneticPr fontId="2" type="noConversion"/>
  </si>
  <si>
    <t>0x69</t>
    <phoneticPr fontId="2" type="noConversion"/>
  </si>
  <si>
    <t>0xD3</t>
    <phoneticPr fontId="2" type="noConversion"/>
  </si>
  <si>
    <t>0xC0</t>
    <phoneticPr fontId="2" type="noConversion"/>
  </si>
  <si>
    <t>0xEF</t>
    <phoneticPr fontId="2" type="noConversion"/>
  </si>
  <si>
    <t>0x54</t>
    <phoneticPr fontId="2" type="noConversion"/>
  </si>
  <si>
    <t>0xEE</t>
    <phoneticPr fontId="2" type="noConversion"/>
  </si>
  <si>
    <t>0x02</t>
    <phoneticPr fontId="2" type="noConversion"/>
  </si>
  <si>
    <t>0xD4</t>
    <phoneticPr fontId="2" type="noConversion"/>
  </si>
  <si>
    <t>0x8D</t>
    <phoneticPr fontId="2" type="noConversion"/>
  </si>
  <si>
    <t>0xB8</t>
    <phoneticPr fontId="2" type="noConversion"/>
  </si>
  <si>
    <t>0xB1</t>
    <phoneticPr fontId="2" type="noConversion"/>
  </si>
  <si>
    <t>0x5B</t>
    <phoneticPr fontId="2" type="noConversion"/>
  </si>
  <si>
    <t>0x01</t>
    <phoneticPr fontId="2" type="noConversion"/>
  </si>
  <si>
    <t>reg_tgen_fpll_dly</t>
    <phoneticPr fontId="2" type="noConversion"/>
  </si>
  <si>
    <t>hdmi atop (common)</t>
    <phoneticPr fontId="2" type="noConversion"/>
  </si>
  <si>
    <t>hdmi atop (common)</t>
    <phoneticPr fontId="2" type="noConversion"/>
  </si>
  <si>
    <t>reg_gcr_drv_iout_sel_ch0</t>
  </si>
  <si>
    <t>0x19</t>
    <phoneticPr fontId="2" type="noConversion"/>
  </si>
  <si>
    <t>0x19</t>
    <phoneticPr fontId="2" type="noConversion"/>
  </si>
  <si>
    <t>0xFF</t>
    <phoneticPr fontId="2" type="noConversion"/>
  </si>
  <si>
    <t>0xFF</t>
    <phoneticPr fontId="2" type="noConversion"/>
  </si>
  <si>
    <t>0x1A</t>
    <phoneticPr fontId="2" type="noConversion"/>
  </si>
  <si>
    <t>0x1A</t>
    <phoneticPr fontId="2" type="noConversion"/>
  </si>
  <si>
    <t>reg_gcr_drv_iout_sel_ch1</t>
    <phoneticPr fontId="2" type="noConversion"/>
  </si>
  <si>
    <t>H</t>
    <phoneticPr fontId="2" type="noConversion"/>
  </si>
  <si>
    <t>0x1B</t>
    <phoneticPr fontId="2" type="noConversion"/>
  </si>
  <si>
    <t>reg_gcr_drv_iout_sel_ch2</t>
    <phoneticPr fontId="2" type="noConversion"/>
  </si>
  <si>
    <t>reg_gcr_drv_iout_sel_ch3</t>
    <phoneticPr fontId="2" type="noConversion"/>
  </si>
  <si>
    <t>reg_gcr_drv_iout_sel_ch3</t>
    <phoneticPr fontId="2" type="noConversion"/>
  </si>
  <si>
    <t>reg_gcr_drv_iout_sel_ch1</t>
    <phoneticPr fontId="2" type="noConversion"/>
  </si>
  <si>
    <t>0x1B</t>
    <phoneticPr fontId="2" type="noConversion"/>
  </si>
  <si>
    <t>reg_gcr_drv_iout_sel_ch2</t>
    <phoneticPr fontId="2" type="noConversion"/>
  </si>
  <si>
    <t>0x19</t>
    <phoneticPr fontId="2" type="noConversion"/>
  </si>
  <si>
    <t>0xFF</t>
    <phoneticPr fontId="2" type="noConversion"/>
  </si>
  <si>
    <t>reg_gcr_drv_iout_sel_ch1</t>
    <phoneticPr fontId="2" type="noConversion"/>
  </si>
  <si>
    <t>reg_gcr_drv_iout_sel_ch2</t>
    <phoneticPr fontId="2" type="noConversion"/>
  </si>
  <si>
    <t>0x1A</t>
    <phoneticPr fontId="2" type="noConversion"/>
  </si>
  <si>
    <t>0xFF</t>
    <phoneticPr fontId="2" type="noConversion"/>
  </si>
  <si>
    <t>reg_gcr_drv_iout_sel_ch3</t>
    <phoneticPr fontId="2" type="noConversion"/>
  </si>
  <si>
    <t>H</t>
    <phoneticPr fontId="2" type="noConversion"/>
  </si>
  <si>
    <t>hdmi atop (common)</t>
    <phoneticPr fontId="2" type="noConversion"/>
  </si>
  <si>
    <t>0xFF</t>
    <phoneticPr fontId="2" type="noConversion"/>
  </si>
  <si>
    <t>0x1B</t>
    <phoneticPr fontId="2" type="noConversion"/>
  </si>
  <si>
    <t>reg_gcr_drv_iout_sel_ch3</t>
    <phoneticPr fontId="2" type="noConversion"/>
  </si>
  <si>
    <t>0x19</t>
    <phoneticPr fontId="2" type="noConversion"/>
  </si>
  <si>
    <t>hdmi atop (common)</t>
    <phoneticPr fontId="2" type="noConversion"/>
  </si>
  <si>
    <t>0x1A</t>
    <phoneticPr fontId="2" type="noConversion"/>
  </si>
  <si>
    <t>0xFF</t>
    <phoneticPr fontId="2" type="noConversion"/>
  </si>
  <si>
    <t>hdmi atop (common)</t>
    <phoneticPr fontId="2" type="noConversion"/>
  </si>
  <si>
    <t>H</t>
    <phoneticPr fontId="2" type="noConversion"/>
  </si>
  <si>
    <t>0xFF</t>
    <phoneticPr fontId="2" type="noConversion"/>
  </si>
  <si>
    <t>hdmi atop (common)</t>
    <phoneticPr fontId="2" type="noConversion"/>
  </si>
  <si>
    <t>0x19</t>
    <phoneticPr fontId="2" type="noConversion"/>
  </si>
  <si>
    <t>0x1A</t>
    <phoneticPr fontId="2" type="noConversion"/>
  </si>
  <si>
    <t>0x19</t>
    <phoneticPr fontId="2" type="noConversion"/>
  </si>
  <si>
    <t>H</t>
    <phoneticPr fontId="2" type="noConversion"/>
  </si>
  <si>
    <t>reg_gcr_drv_iout_sel_ch2</t>
    <phoneticPr fontId="2" type="noConversion"/>
  </si>
  <si>
    <t>0xFF</t>
    <phoneticPr fontId="2" type="noConversion"/>
  </si>
  <si>
    <t>0x1A</t>
    <phoneticPr fontId="2" type="noConversion"/>
  </si>
  <si>
    <t>H</t>
    <phoneticPr fontId="2" type="noConversion"/>
  </si>
  <si>
    <t>0x1B</t>
    <phoneticPr fontId="2" type="noConversion"/>
  </si>
  <si>
    <t>reg_gcr_drv_iout_sel_ch2</t>
    <phoneticPr fontId="2" type="noConversion"/>
  </si>
  <si>
    <t>0x1A</t>
    <phoneticPr fontId="2" type="noConversion"/>
  </si>
  <si>
    <t>H</t>
    <phoneticPr fontId="2" type="noConversion"/>
  </si>
  <si>
    <t>0xFF</t>
    <phoneticPr fontId="2" type="noConversion"/>
  </si>
  <si>
    <t>hdmi atop (common)</t>
    <phoneticPr fontId="2" type="noConversion"/>
  </si>
  <si>
    <t>0x1A</t>
    <phoneticPr fontId="2" type="noConversion"/>
  </si>
  <si>
    <t>0x19</t>
    <phoneticPr fontId="2" type="noConversion"/>
  </si>
  <si>
    <t>reg_gcr_rterm50_trim</t>
  </si>
  <si>
    <t>0x38</t>
    <phoneticPr fontId="2" type="noConversion"/>
  </si>
  <si>
    <t>0x38</t>
    <phoneticPr fontId="2" type="noConversion"/>
  </si>
  <si>
    <t>0x1A</t>
    <phoneticPr fontId="2" type="noConversion"/>
  </si>
  <si>
    <t>hdmi atop (common)</t>
    <phoneticPr fontId="2" type="noConversion"/>
  </si>
  <si>
    <t>0x38</t>
    <phoneticPr fontId="2" type="noConversion"/>
  </si>
  <si>
    <t>0x1A</t>
    <phoneticPr fontId="2" type="noConversion"/>
  </si>
  <si>
    <t>hdmi atop (common)</t>
    <phoneticPr fontId="2" type="noConversion"/>
  </si>
  <si>
    <t>0x1A</t>
    <phoneticPr fontId="2" type="noConversion"/>
  </si>
  <si>
    <t>0x38</t>
    <phoneticPr fontId="2" type="noConversion"/>
  </si>
  <si>
    <t>hdmi atop (common)</t>
    <phoneticPr fontId="2" type="noConversion"/>
  </si>
  <si>
    <t>0x38</t>
    <phoneticPr fontId="2" type="noConversion"/>
  </si>
  <si>
    <t>0x1A</t>
    <phoneticPr fontId="2" type="noConversion"/>
  </si>
  <si>
    <t>clk_216</t>
    <phoneticPr fontId="2" type="noConversion"/>
  </si>
  <si>
    <t>clk_216</t>
    <phoneticPr fontId="2" type="noConversion"/>
  </si>
  <si>
    <t>enable clock 216 for synth</t>
    <phoneticPr fontId="2" type="noConversion"/>
  </si>
  <si>
    <t>enable clock 216 for synth</t>
    <phoneticPr fontId="2" type="noConversion"/>
  </si>
  <si>
    <t>enable clock 216 for synth</t>
    <phoneticPr fontId="2" type="noConversion"/>
  </si>
  <si>
    <t>Hsync Pol</t>
    <phoneticPr fontId="2" type="noConversion"/>
  </si>
  <si>
    <t>Hsync Pol</t>
    <phoneticPr fontId="2" type="noConversion"/>
  </si>
  <si>
    <t>Hsync Pol</t>
    <phoneticPr fontId="2" type="noConversion"/>
  </si>
  <si>
    <t>Vsync Pol</t>
    <phoneticPr fontId="2" type="noConversion"/>
  </si>
  <si>
    <t>Vsync Pol</t>
    <phoneticPr fontId="2" type="noConversion"/>
  </si>
  <si>
    <t>Vsync Pol</t>
    <phoneticPr fontId="2" type="noConversion"/>
  </si>
  <si>
    <t>0x0B</t>
    <phoneticPr fontId="2" type="noConversion"/>
  </si>
  <si>
    <t>0x0B</t>
    <phoneticPr fontId="2" type="noConversion"/>
  </si>
  <si>
    <t>0x01</t>
    <phoneticPr fontId="2" type="noConversion"/>
  </si>
  <si>
    <t>0x01</t>
    <phoneticPr fontId="2" type="noConversion"/>
  </si>
  <si>
    <t>0x02</t>
    <phoneticPr fontId="2" type="noConversion"/>
  </si>
  <si>
    <t>0x02</t>
    <phoneticPr fontId="2" type="noConversion"/>
  </si>
  <si>
    <t>Hsync Pol</t>
    <phoneticPr fontId="2" type="noConversion"/>
  </si>
  <si>
    <t>Hsync Pol</t>
    <phoneticPr fontId="2" type="noConversion"/>
  </si>
  <si>
    <t>Vsync Pol</t>
    <phoneticPr fontId="2" type="noConversion"/>
  </si>
  <si>
    <t>Vsync Pol</t>
    <phoneticPr fontId="2" type="noConversion"/>
  </si>
  <si>
    <t>NEG</t>
    <phoneticPr fontId="2" type="noConversion"/>
  </si>
  <si>
    <t>NEG</t>
    <phoneticPr fontId="2" type="noConversion"/>
  </si>
  <si>
    <t>POS</t>
    <phoneticPr fontId="2" type="noConversion"/>
  </si>
  <si>
    <t>POS</t>
    <phoneticPr fontId="2" type="noConversion"/>
  </si>
  <si>
    <t>NEG</t>
    <phoneticPr fontId="2" type="noConversion"/>
  </si>
  <si>
    <t>POS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</si>
</sst>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4"/>
      <name val="Arial Unicode MS"/>
      <family val="2"/>
      <charset val="128"/>
    </font>
    <font>
      <b/>
      <sz val="14"/>
      <name val="Arial Unicode MS"/>
      <family val="2"/>
      <charset val="128"/>
    </font>
    <font>
      <b/>
      <sz val="12"/>
      <name val="新細明體"/>
      <family val="1"/>
      <charset val="136"/>
    </font>
    <font>
      <b/>
      <sz val="22"/>
      <name val="Arial Narrow"/>
      <family val="2"/>
    </font>
    <font>
      <b/>
      <sz val="16"/>
      <name val="Arial Narrow"/>
      <family val="2"/>
    </font>
    <font>
      <sz val="12"/>
      <name val="Arial Narrow"/>
      <family val="2"/>
    </font>
    <font>
      <u/>
      <sz val="12"/>
      <color indexed="12"/>
      <name val="新細明體"/>
      <family val="1"/>
      <charset val="136"/>
    </font>
    <font>
      <b/>
      <i/>
      <u/>
      <sz val="12"/>
      <color indexed="13"/>
      <name val="Arial Narrow"/>
      <family val="2"/>
    </font>
    <font>
      <b/>
      <i/>
      <sz val="12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sz val="22"/>
      <name val="新細明體"/>
      <family val="1"/>
      <charset val="136"/>
    </font>
    <font>
      <b/>
      <sz val="12"/>
      <name val="新細明體"/>
      <family val="1"/>
      <charset val="136"/>
      <scheme val="major"/>
    </font>
    <font>
      <sz val="12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9"/>
      <name val="細明體"/>
      <family val="3"/>
      <charset val="136"/>
    </font>
    <font>
      <sz val="12"/>
      <color rgb="FFFF0000"/>
      <name val="Arial Narrow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</cellStyleXfs>
  <cellXfs count="87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>
      <alignment vertical="center"/>
    </xf>
    <xf numFmtId="0" fontId="3" fillId="0" borderId="0" xfId="0" applyFont="1" applyFill="1" applyBorder="1" applyAlignment="1">
      <alignment horizontal="left" vertical="center"/>
    </xf>
    <xf numFmtId="0" fontId="1" fillId="0" borderId="0" xfId="0" applyFont="1" applyFill="1" applyBorder="1">
      <alignment vertical="center"/>
    </xf>
    <xf numFmtId="0" fontId="1" fillId="0" borderId="0" xfId="0" applyFont="1" applyBorder="1">
      <alignment vertical="center"/>
    </xf>
    <xf numFmtId="0" fontId="5" fillId="9" borderId="0" xfId="0" applyFont="1" applyFill="1">
      <alignment vertical="center"/>
    </xf>
    <xf numFmtId="49" fontId="5" fillId="0" borderId="0" xfId="0" applyNumberFormat="1" applyFont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/>
    </xf>
    <xf numFmtId="49" fontId="12" fillId="4" borderId="1" xfId="0" applyNumberFormat="1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1" xfId="0" applyFont="1" applyFill="1" applyBorder="1" applyAlignment="1">
      <alignment horizontal="center" vertical="center"/>
    </xf>
    <xf numFmtId="0" fontId="12" fillId="7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NumberFormat="1" applyFont="1" applyFill="1" applyBorder="1" applyAlignment="1" applyProtection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22" fontId="12" fillId="0" borderId="0" xfId="0" applyNumberFormat="1" applyFont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1" xfId="0" applyFont="1" applyFill="1" applyBorder="1">
      <alignment vertical="center"/>
    </xf>
    <xf numFmtId="0" fontId="13" fillId="0" borderId="1" xfId="0" applyFont="1" applyFill="1" applyBorder="1">
      <alignment vertical="center"/>
    </xf>
    <xf numFmtId="0" fontId="5" fillId="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7" fillId="11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Alignment="1">
      <alignment vertical="center" shrinkToFit="1"/>
    </xf>
    <xf numFmtId="0" fontId="10" fillId="0" borderId="2" xfId="1" applyFont="1" applyFill="1" applyBorder="1" applyAlignment="1" applyProtection="1">
      <alignment horizontal="center" vertical="center"/>
    </xf>
    <xf numFmtId="0" fontId="10" fillId="0" borderId="3" xfId="1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vertical="center" wrapText="1"/>
    </xf>
    <xf numFmtId="0" fontId="13" fillId="0" borderId="1" xfId="0" applyFont="1" applyFill="1" applyBorder="1" applyAlignment="1">
      <alignment vertical="center"/>
    </xf>
    <xf numFmtId="0" fontId="8" fillId="0" borderId="5" xfId="0" applyFont="1" applyFill="1" applyBorder="1">
      <alignment vertical="center"/>
    </xf>
    <xf numFmtId="0" fontId="13" fillId="0" borderId="5" xfId="0" applyFont="1" applyFill="1" applyBorder="1" applyAlignment="1">
      <alignment vertical="center" wrapText="1"/>
    </xf>
    <xf numFmtId="0" fontId="13" fillId="0" borderId="5" xfId="0" applyFont="1" applyFill="1" applyBorder="1">
      <alignment vertical="center"/>
    </xf>
    <xf numFmtId="0" fontId="8" fillId="0" borderId="5" xfId="0" applyFont="1" applyFill="1" applyBorder="1" applyAlignment="1">
      <alignment horizontal="center" vertical="center"/>
    </xf>
    <xf numFmtId="0" fontId="12" fillId="7" borderId="5" xfId="0" applyNumberFormat="1" applyFont="1" applyFill="1" applyBorder="1" applyAlignment="1" applyProtection="1">
      <alignment horizontal="center" vertical="center"/>
    </xf>
    <xf numFmtId="0" fontId="8" fillId="0" borderId="6" xfId="0" applyFont="1" applyFill="1" applyBorder="1">
      <alignment vertical="center"/>
    </xf>
    <xf numFmtId="0" fontId="13" fillId="0" borderId="6" xfId="0" applyFont="1" applyFill="1" applyBorder="1">
      <alignment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13" fillId="0" borderId="0" xfId="0" applyFont="1" applyFill="1" applyBorder="1" applyAlignment="1">
      <alignment vertical="center" wrapText="1"/>
    </xf>
    <xf numFmtId="0" fontId="13" fillId="0" borderId="0" xfId="0" applyFont="1" applyFill="1" applyBorder="1">
      <alignment vertical="center"/>
    </xf>
    <xf numFmtId="0" fontId="8" fillId="0" borderId="0" xfId="0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12" fillId="0" borderId="6" xfId="0" applyNumberFormat="1" applyFont="1" applyFill="1" applyBorder="1" applyAlignment="1" applyProtection="1">
      <alignment horizontal="center" vertical="center"/>
    </xf>
    <xf numFmtId="0" fontId="19" fillId="0" borderId="1" xfId="0" applyFont="1" applyFill="1" applyBorder="1">
      <alignment vertical="center"/>
    </xf>
    <xf numFmtId="0" fontId="19" fillId="0" borderId="6" xfId="0" applyFont="1" applyFill="1" applyBorder="1">
      <alignment vertical="center"/>
    </xf>
    <xf numFmtId="0" fontId="7" fillId="0" borderId="1" xfId="0" applyFont="1" applyBorder="1">
      <alignment vertical="center"/>
    </xf>
    <xf numFmtId="0" fontId="0" fillId="12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9" fillId="0" borderId="0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0" fontId="0" fillId="0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8" fillId="0" borderId="7" xfId="0" applyFont="1" applyFill="1" applyBorder="1" applyAlignment="1">
      <alignment horizontal="center" vertical="center"/>
    </xf>
    <xf numFmtId="0" fontId="0" fillId="9" borderId="1" xfId="0" applyFill="1" applyBorder="1">
      <alignment vertical="center"/>
    </xf>
    <xf numFmtId="0" fontId="5" fillId="2" borderId="0" xfId="0" applyFont="1" applyFill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14" fillId="0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28575</xdr:rowOff>
        </xdr:from>
        <xdr:to>
          <xdr:col>1</xdr:col>
          <xdr:colOff>1400175</xdr:colOff>
          <xdr:row>0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2"/>
  <sheetViews>
    <sheetView tabSelected="1" zoomScale="80" workbookViewId="0">
      <selection activeCell="T8" sqref="T8"/>
    </sheetView>
  </sheetViews>
  <sheetFormatPr defaultRowHeight="16.5" x14ac:dyDescent="0.25"/>
  <cols>
    <col min="1" max="1" width="30.375" customWidth="1"/>
    <col min="2" max="2" width="20" customWidth="1"/>
    <col min="3" max="3" width="12.75" customWidth="1"/>
    <col min="8" max="8" width="2.125" customWidth="1"/>
    <col min="10" max="10" width="15.375" customWidth="1"/>
    <col min="13" max="13" width="13.75" bestFit="1" customWidth="1"/>
    <col min="15" max="15" width="18.75" bestFit="1" customWidth="1"/>
    <col min="16" max="16" width="17" customWidth="1"/>
    <col min="17" max="17" width="15.25" bestFit="1" customWidth="1"/>
    <col min="18" max="18" width="11.5" bestFit="1" customWidth="1"/>
  </cols>
  <sheetData>
    <row r="1" spans="1:16" ht="35.25" customHeight="1" x14ac:dyDescent="0.25">
      <c r="A1" s="12" t="s">
        <v>301</v>
      </c>
      <c r="B1" s="11"/>
      <c r="E1" s="81" t="s">
        <v>9</v>
      </c>
      <c r="F1" s="81"/>
      <c r="G1" s="10" t="s">
        <v>8</v>
      </c>
      <c r="I1" s="81" t="s">
        <v>7</v>
      </c>
      <c r="J1" s="81"/>
      <c r="K1" s="10" t="s">
        <v>21</v>
      </c>
      <c r="M1" s="9" t="s">
        <v>6</v>
      </c>
      <c r="O1" s="33" t="s">
        <v>23</v>
      </c>
      <c r="P1" s="34" t="s">
        <v>297</v>
      </c>
    </row>
    <row r="2" spans="1:16" x14ac:dyDescent="0.25">
      <c r="A2" s="8"/>
      <c r="B2" s="8"/>
      <c r="C2" s="8"/>
      <c r="D2" s="7"/>
      <c r="O2" s="33" t="s">
        <v>25</v>
      </c>
      <c r="P2" s="34" t="s">
        <v>34</v>
      </c>
    </row>
    <row r="3" spans="1:16" s="1" customFormat="1" ht="20.25" x14ac:dyDescent="0.25">
      <c r="A3" s="2" t="s">
        <v>5</v>
      </c>
      <c r="B3" s="2" t="s">
        <v>4</v>
      </c>
      <c r="C3" s="2" t="s">
        <v>3</v>
      </c>
      <c r="O3" s="36" t="s">
        <v>26</v>
      </c>
      <c r="P3" s="35" t="s">
        <v>298</v>
      </c>
    </row>
    <row r="4" spans="1:16" s="1" customFormat="1" ht="20.25" x14ac:dyDescent="0.25">
      <c r="A4" s="6" t="s">
        <v>308</v>
      </c>
      <c r="B4" s="5" t="s">
        <v>43</v>
      </c>
      <c r="C4" s="4" t="s">
        <v>2</v>
      </c>
      <c r="D4" s="3" t="s">
        <v>1</v>
      </c>
    </row>
    <row r="5" spans="1:16" s="1" customFormat="1" ht="20.25" x14ac:dyDescent="0.25">
      <c r="A5" s="6" t="s">
        <v>307</v>
      </c>
      <c r="B5" s="5" t="s">
        <v>44</v>
      </c>
      <c r="C5" s="4" t="s">
        <v>2</v>
      </c>
      <c r="D5" s="3" t="s">
        <v>1</v>
      </c>
    </row>
    <row r="6" spans="1:16" s="1" customFormat="1" ht="20.25" x14ac:dyDescent="0.25">
      <c r="A6" s="6" t="s">
        <v>306</v>
      </c>
      <c r="B6" s="5" t="s">
        <v>45</v>
      </c>
      <c r="C6" s="4" t="s">
        <v>2</v>
      </c>
      <c r="D6" s="3" t="s">
        <v>1</v>
      </c>
    </row>
    <row r="7" spans="1:16" s="1" customFormat="1" ht="20.25" x14ac:dyDescent="0.25">
      <c r="A7" s="6" t="s">
        <v>305</v>
      </c>
      <c r="B7" s="5" t="s">
        <v>46</v>
      </c>
      <c r="C7" s="4" t="s">
        <v>2</v>
      </c>
      <c r="D7" s="3" t="s">
        <v>1</v>
      </c>
    </row>
    <row r="8" spans="1:16" s="1" customFormat="1" ht="20.25" x14ac:dyDescent="0.25">
      <c r="A8" s="6" t="s">
        <v>304</v>
      </c>
      <c r="B8" s="5" t="s">
        <v>142</v>
      </c>
      <c r="C8" s="4" t="s">
        <v>2</v>
      </c>
      <c r="D8" s="3" t="s">
        <v>1</v>
      </c>
    </row>
    <row r="9" spans="1:16" s="1" customFormat="1" ht="20.25" x14ac:dyDescent="0.25">
      <c r="A9" s="6" t="s">
        <v>303</v>
      </c>
      <c r="B9" s="5" t="s">
        <v>107</v>
      </c>
      <c r="C9" s="4" t="s">
        <v>2</v>
      </c>
      <c r="D9" s="3" t="s">
        <v>1</v>
      </c>
    </row>
    <row r="10" spans="1:16" s="1" customFormat="1" ht="20.25" x14ac:dyDescent="0.25">
      <c r="A10" s="6" t="s">
        <v>302</v>
      </c>
      <c r="B10" s="5" t="s">
        <v>183</v>
      </c>
      <c r="C10" s="4" t="s">
        <v>2</v>
      </c>
      <c r="D10" s="3" t="s">
        <v>1</v>
      </c>
    </row>
    <row r="11" spans="1:16" s="1" customFormat="1" ht="20.25" x14ac:dyDescent="0.25">
      <c r="A11" s="6" t="s">
        <v>356</v>
      </c>
      <c r="B11" s="5" t="s">
        <v>357</v>
      </c>
      <c r="C11" s="4" t="s">
        <v>2</v>
      </c>
      <c r="D11" s="3" t="s">
        <v>1</v>
      </c>
    </row>
    <row r="12" spans="1:16" s="1" customFormat="1" ht="20.25" x14ac:dyDescent="0.25">
      <c r="A12" s="2" t="s">
        <v>0</v>
      </c>
    </row>
  </sheetData>
  <mergeCells count="2">
    <mergeCell ref="E1:F1"/>
    <mergeCell ref="I1:J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28575</xdr:rowOff>
              </from>
              <to>
                <xdr:col>1</xdr:col>
                <xdr:colOff>1400175</xdr:colOff>
                <xdr:row>0</xdr:row>
                <xdr:rowOff>419100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U142"/>
  <sheetViews>
    <sheetView topLeftCell="A109" zoomScale="115" zoomScaleNormal="115" workbookViewId="0">
      <selection activeCell="A117" sqref="A117:XFD117"/>
    </sheetView>
  </sheetViews>
  <sheetFormatPr defaultRowHeight="16.5" x14ac:dyDescent="0.25"/>
  <cols>
    <col min="1" max="1" width="24.125" customWidth="1"/>
    <col min="2" max="2" width="30.7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8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74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76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299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82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82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82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85</v>
      </c>
      <c r="G21" s="24" t="s">
        <v>40</v>
      </c>
      <c r="H21" s="21" t="s">
        <v>33</v>
      </c>
      <c r="I21" s="21" t="s">
        <v>86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82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90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100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99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268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268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53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31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272</v>
      </c>
      <c r="G32" s="22" t="s">
        <v>38</v>
      </c>
      <c r="H32" s="21" t="s">
        <v>33</v>
      </c>
      <c r="I32" s="21" t="s">
        <v>131</v>
      </c>
      <c r="K32" s="37"/>
      <c r="L32" s="37"/>
    </row>
    <row r="33" spans="1:14" s="20" customFormat="1" x14ac:dyDescent="0.25">
      <c r="A33" s="31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274</v>
      </c>
      <c r="G33" s="24" t="s">
        <v>40</v>
      </c>
      <c r="H33" s="21" t="s">
        <v>33</v>
      </c>
      <c r="I33" s="21" t="s">
        <v>125</v>
      </c>
      <c r="K33" s="37"/>
      <c r="L33" s="37"/>
    </row>
    <row r="34" spans="1:14" s="20" customFormat="1" ht="38.25" x14ac:dyDescent="0.25">
      <c r="A34" s="31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277</v>
      </c>
      <c r="G34" s="22" t="s">
        <v>38</v>
      </c>
      <c r="H34" s="21" t="s">
        <v>33</v>
      </c>
      <c r="I34" s="21" t="s">
        <v>135</v>
      </c>
      <c r="K34" s="37"/>
      <c r="L34" s="37" t="s">
        <v>383</v>
      </c>
      <c r="M34" s="20" t="str">
        <f>IF(I34="0x13","0.5",IF(I34="0x12","1","2"))</f>
        <v>0.5</v>
      </c>
    </row>
    <row r="35" spans="1:14" s="20" customFormat="1" x14ac:dyDescent="0.25">
      <c r="A35" s="60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60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407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31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0xA1</v>
      </c>
      <c r="J39" s="20" t="str">
        <f>DEC2HEX(MOD(N39,256))</f>
        <v>A1</v>
      </c>
      <c r="K39" s="37" t="str">
        <f>DEC2HEX(N39)</f>
        <v>3FEFA1</v>
      </c>
      <c r="L39" s="78" t="s">
        <v>376</v>
      </c>
      <c r="M39" s="75">
        <f>432*524288/(P70*P73*L75/1000000)</f>
        <v>8380227.7722277716</v>
      </c>
      <c r="N39" s="75">
        <f>(M39*M34)</f>
        <v>4190113.8861138858</v>
      </c>
    </row>
    <row r="40" spans="1:14" s="20" customFormat="1" x14ac:dyDescent="0.25">
      <c r="A40" s="31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118</v>
      </c>
      <c r="G40" s="24" t="s">
        <v>40</v>
      </c>
      <c r="H40" s="21" t="s">
        <v>33</v>
      </c>
      <c r="I40" s="21" t="str">
        <f>"0x"&amp;TEXT(J40,"00")</f>
        <v>0xEF</v>
      </c>
      <c r="J40" s="20" t="str">
        <f>DEC2HEX(MOD((N39-MOD(N39,256))/256,256))</f>
        <v>EF</v>
      </c>
      <c r="K40" s="37"/>
      <c r="L40" s="78" t="s">
        <v>378</v>
      </c>
      <c r="M40" s="75">
        <f>16*524288/(P70*P73)</f>
        <v>18.622728382728383</v>
      </c>
      <c r="N40" s="75"/>
    </row>
    <row r="41" spans="1:14" s="20" customFormat="1" x14ac:dyDescent="0.25">
      <c r="A41" s="31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0x3F</v>
      </c>
      <c r="J41" s="20" t="str">
        <f>DEC2HEX((N39-MOD(N39,256))/65536)</f>
        <v>3F</v>
      </c>
      <c r="K41" s="37"/>
      <c r="L41" s="78" t="s">
        <v>381</v>
      </c>
      <c r="M41" s="75">
        <f>IF(M40&gt;16,M40*128, M40*256)</f>
        <v>2383.709232989233</v>
      </c>
      <c r="N41" s="75"/>
    </row>
    <row r="42" spans="1:14" s="20" customFormat="1" x14ac:dyDescent="0.25">
      <c r="A42" s="31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284</v>
      </c>
      <c r="G42" s="22" t="s">
        <v>38</v>
      </c>
      <c r="H42" s="21" t="s">
        <v>33</v>
      </c>
      <c r="I42" s="21" t="s">
        <v>438</v>
      </c>
      <c r="K42" s="37" t="str">
        <f>DEC2HEX(M41)</f>
        <v>94F</v>
      </c>
      <c r="L42" s="37"/>
    </row>
    <row r="43" spans="1:14" s="20" customFormat="1" x14ac:dyDescent="0.25">
      <c r="A43" s="31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284</v>
      </c>
      <c r="G43" s="24" t="s">
        <v>40</v>
      </c>
      <c r="H43" s="21" t="s">
        <v>33</v>
      </c>
      <c r="I43" s="21" t="s">
        <v>39</v>
      </c>
      <c r="K43" s="37"/>
      <c r="L43" s="37"/>
    </row>
    <row r="44" spans="1:14" s="20" customFormat="1" x14ac:dyDescent="0.25">
      <c r="A44" s="31" t="s">
        <v>429</v>
      </c>
      <c r="B44" s="50" t="s">
        <v>434</v>
      </c>
      <c r="C44" s="32"/>
      <c r="D44" s="21" t="s">
        <v>305</v>
      </c>
      <c r="E44" s="21" t="s">
        <v>37</v>
      </c>
      <c r="F44" s="21" t="s">
        <v>431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31" t="s">
        <v>421</v>
      </c>
      <c r="B45" s="50" t="s">
        <v>422</v>
      </c>
      <c r="C45" s="32"/>
      <c r="D45" s="21" t="s">
        <v>302</v>
      </c>
      <c r="E45" s="21" t="s">
        <v>37</v>
      </c>
      <c r="F45" s="21" t="s">
        <v>412</v>
      </c>
      <c r="G45" s="22" t="s">
        <v>38</v>
      </c>
      <c r="H45" s="21" t="s">
        <v>415</v>
      </c>
      <c r="I45" s="21" t="s">
        <v>428</v>
      </c>
      <c r="K45" s="37"/>
      <c r="L45" s="37"/>
    </row>
    <row r="46" spans="1:14" s="20" customFormat="1" x14ac:dyDescent="0.25">
      <c r="A46" s="31" t="s">
        <v>420</v>
      </c>
      <c r="B46" s="50" t="s">
        <v>419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417</v>
      </c>
      <c r="I46" s="21" t="s">
        <v>424</v>
      </c>
      <c r="K46" s="37"/>
      <c r="L46" s="37"/>
    </row>
    <row r="47" spans="1:14" s="20" customFormat="1" x14ac:dyDescent="0.25">
      <c r="A47" s="31" t="s">
        <v>112</v>
      </c>
      <c r="B47" s="50" t="s">
        <v>172</v>
      </c>
      <c r="C47" s="32" t="s">
        <v>177</v>
      </c>
      <c r="D47" s="21" t="s">
        <v>372</v>
      </c>
      <c r="E47" s="21" t="s">
        <v>37</v>
      </c>
      <c r="F47" s="21" t="s">
        <v>100</v>
      </c>
      <c r="G47" s="22" t="s">
        <v>38</v>
      </c>
      <c r="H47" s="21" t="s">
        <v>33</v>
      </c>
      <c r="I47" s="21" t="s">
        <v>171</v>
      </c>
      <c r="K47" s="37"/>
      <c r="L47" s="37"/>
    </row>
    <row r="48" spans="1:14" s="20" customFormat="1" x14ac:dyDescent="0.25">
      <c r="A48" s="31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31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31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169</v>
      </c>
      <c r="K50" s="37"/>
      <c r="L50" s="37"/>
    </row>
    <row r="51" spans="1:12" s="20" customFormat="1" x14ac:dyDescent="0.25">
      <c r="A51" s="60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60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232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279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171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348</v>
      </c>
      <c r="K59" s="37"/>
      <c r="L59" s="37"/>
    </row>
    <row r="60" spans="1:12" s="20" customFormat="1" x14ac:dyDescent="0.25">
      <c r="A60" s="31" t="s">
        <v>178</v>
      </c>
      <c r="B60" s="50" t="s">
        <v>353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31" t="s">
        <v>178</v>
      </c>
      <c r="B61" s="50" t="s">
        <v>345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522</v>
      </c>
      <c r="C62" s="32"/>
      <c r="D62" s="21" t="s">
        <v>306</v>
      </c>
      <c r="E62" s="21" t="s">
        <v>37</v>
      </c>
      <c r="F62" s="21" t="s">
        <v>528</v>
      </c>
      <c r="G62" s="22" t="s">
        <v>38</v>
      </c>
      <c r="H62" s="21" t="s">
        <v>131</v>
      </c>
      <c r="I62" s="21" t="str">
        <f>IF(L77="NEG","0x01","0x00")</f>
        <v>0x00</v>
      </c>
      <c r="K62" s="37"/>
      <c r="L62" s="37"/>
    </row>
    <row r="63" spans="1:12" s="20" customFormat="1" x14ac:dyDescent="0.25">
      <c r="A63" s="31" t="s">
        <v>178</v>
      </c>
      <c r="B63" s="50" t="s">
        <v>525</v>
      </c>
      <c r="C63" s="32"/>
      <c r="D63" s="21" t="s">
        <v>306</v>
      </c>
      <c r="E63" s="21" t="s">
        <v>37</v>
      </c>
      <c r="F63" s="21" t="s">
        <v>528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60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31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0x59</v>
      </c>
      <c r="J68" s="20" t="str">
        <f>DEC2HEX(MOD(K68,256))</f>
        <v>59</v>
      </c>
      <c r="K68" s="37">
        <f>P70-1</f>
        <v>857</v>
      </c>
      <c r="L68" s="85" t="s">
        <v>40</v>
      </c>
      <c r="M68" s="85"/>
      <c r="N68" s="85"/>
      <c r="O68" s="85"/>
      <c r="P68" s="85"/>
    </row>
    <row r="69" spans="1:16" s="20" customFormat="1" x14ac:dyDescent="0.25">
      <c r="A69" s="57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0x03</v>
      </c>
      <c r="J69" s="20" t="str">
        <f>DEC2HEX((K68-MOD(K68,256))/256)</f>
        <v>3</v>
      </c>
      <c r="K69" s="37"/>
      <c r="L69" s="71" t="s">
        <v>313</v>
      </c>
      <c r="M69" s="71" t="s">
        <v>314</v>
      </c>
      <c r="N69" s="71" t="s">
        <v>315</v>
      </c>
      <c r="O69" s="71" t="s">
        <v>316</v>
      </c>
      <c r="P69" s="71" t="s">
        <v>317</v>
      </c>
    </row>
    <row r="70" spans="1:16" s="20" customFormat="1" x14ac:dyDescent="0.25">
      <c r="A70" s="31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0xC</v>
      </c>
      <c r="J70" s="20" t="str">
        <f>DEC2HEX(MOD(K70,256))</f>
        <v>C</v>
      </c>
      <c r="K70" s="37">
        <f>P73-1</f>
        <v>524</v>
      </c>
      <c r="L70" s="72">
        <v>62</v>
      </c>
      <c r="M70" s="72">
        <v>60</v>
      </c>
      <c r="N70" s="72">
        <v>720</v>
      </c>
      <c r="O70" s="72">
        <f>P70-N70-M70-L70</f>
        <v>16</v>
      </c>
      <c r="P70" s="72">
        <v>858</v>
      </c>
    </row>
    <row r="71" spans="1:16" s="20" customFormat="1" x14ac:dyDescent="0.25">
      <c r="A71" s="31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0x02</v>
      </c>
      <c r="J71" s="20" t="str">
        <f>DEC2HEX((K70-MOD(K70,256))/256)</f>
        <v>2</v>
      </c>
      <c r="K71" s="37"/>
      <c r="L71" s="85" t="s">
        <v>318</v>
      </c>
      <c r="M71" s="85"/>
      <c r="N71" s="85"/>
      <c r="O71" s="85"/>
      <c r="P71" s="85"/>
    </row>
    <row r="72" spans="1:16" s="20" customFormat="1" x14ac:dyDescent="0.25">
      <c r="A72" s="31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313</v>
      </c>
      <c r="M72" s="71" t="s">
        <v>314</v>
      </c>
      <c r="N72" s="71" t="s">
        <v>315</v>
      </c>
      <c r="O72" s="71" t="s">
        <v>316</v>
      </c>
      <c r="P72" s="71" t="s">
        <v>317</v>
      </c>
    </row>
    <row r="73" spans="1:16" s="20" customFormat="1" x14ac:dyDescent="0.25">
      <c r="A73" s="31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187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6</v>
      </c>
      <c r="M73" s="72">
        <v>30</v>
      </c>
      <c r="N73" s="72">
        <v>480</v>
      </c>
      <c r="O73" s="72">
        <f>P73-N73-M73-L73</f>
        <v>9</v>
      </c>
      <c r="P73" s="72">
        <v>525</v>
      </c>
    </row>
    <row r="74" spans="1:16" s="20" customFormat="1" x14ac:dyDescent="0.25">
      <c r="A74" s="31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0x3D</v>
      </c>
      <c r="J74" s="20" t="str">
        <f>DEC2HEX(MOD(K74,256))</f>
        <v>3D</v>
      </c>
      <c r="K74" s="37">
        <f>L70-1</f>
        <v>61</v>
      </c>
      <c r="L74" s="85" t="s">
        <v>319</v>
      </c>
      <c r="M74" s="85"/>
      <c r="N74" s="85"/>
      <c r="O74" s="85"/>
      <c r="P74" s="85"/>
    </row>
    <row r="75" spans="1:16" s="20" customFormat="1" x14ac:dyDescent="0.25">
      <c r="A75" s="31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146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60</v>
      </c>
      <c r="M75" s="84"/>
      <c r="N75" s="84"/>
      <c r="O75" s="84"/>
      <c r="P75" s="84"/>
    </row>
    <row r="76" spans="1:16" s="20" customFormat="1" x14ac:dyDescent="0.25">
      <c r="A76" s="31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189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534</v>
      </c>
      <c r="M76" s="80" t="s">
        <v>536</v>
      </c>
    </row>
    <row r="77" spans="1:16" s="20" customFormat="1" x14ac:dyDescent="0.25">
      <c r="A77" s="31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543</v>
      </c>
      <c r="M77" s="72" t="s">
        <v>540</v>
      </c>
    </row>
    <row r="78" spans="1:16" s="20" customFormat="1" x14ac:dyDescent="0.25">
      <c r="A78" s="31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190</v>
      </c>
      <c r="G78" s="22" t="s">
        <v>38</v>
      </c>
      <c r="H78" s="21" t="s">
        <v>33</v>
      </c>
      <c r="I78" s="21" t="str">
        <f t="shared" si="0"/>
        <v>0x05</v>
      </c>
      <c r="J78" s="20" t="str">
        <f>DEC2HEX(MOD(K78,256))</f>
        <v>5</v>
      </c>
      <c r="K78" s="37">
        <f>L73-1</f>
        <v>5</v>
      </c>
      <c r="L78" s="37"/>
    </row>
    <row r="79" spans="1:16" s="20" customFormat="1" x14ac:dyDescent="0.25">
      <c r="A79" s="31" t="s">
        <v>184</v>
      </c>
      <c r="B79" s="32" t="s">
        <v>157</v>
      </c>
      <c r="C79" s="32"/>
      <c r="D79" s="21" t="s">
        <v>302</v>
      </c>
      <c r="E79" s="21" t="s">
        <v>37</v>
      </c>
      <c r="F79" s="21" t="s">
        <v>190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31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0x7A</v>
      </c>
      <c r="J80" s="20" t="str">
        <f>DEC2HEX(MOD(K80,256))</f>
        <v>7A</v>
      </c>
      <c r="K80" s="37">
        <f>L70+M70</f>
        <v>122</v>
      </c>
      <c r="L80" s="37"/>
    </row>
    <row r="81" spans="1:12" s="20" customFormat="1" x14ac:dyDescent="0.25">
      <c r="A81" s="31" t="s">
        <v>184</v>
      </c>
      <c r="B81" s="32" t="s">
        <v>159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0x00</v>
      </c>
      <c r="J81" s="20" t="str">
        <f>DEC2HEX((K80-MOD(K80,256))/256)</f>
        <v>0</v>
      </c>
      <c r="K81" s="37"/>
      <c r="L81" s="37"/>
    </row>
    <row r="82" spans="1:12" s="20" customFormat="1" x14ac:dyDescent="0.25">
      <c r="A82" s="31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193</v>
      </c>
      <c r="G82" s="22" t="s">
        <v>38</v>
      </c>
      <c r="H82" s="21" t="s">
        <v>33</v>
      </c>
      <c r="I82" s="21" t="str">
        <f t="shared" si="0"/>
        <v>0x49</v>
      </c>
      <c r="J82" s="20" t="str">
        <f>DEC2HEX(MOD(K82,256))</f>
        <v>49</v>
      </c>
      <c r="K82" s="37">
        <f>L70+M70+N70-1</f>
        <v>841</v>
      </c>
      <c r="L82" s="37"/>
    </row>
    <row r="83" spans="1:12" s="20" customFormat="1" x14ac:dyDescent="0.25">
      <c r="A83" s="31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0x03</v>
      </c>
      <c r="J83" s="20" t="str">
        <f>DEC2HEX((K82-MOD(K82,256))/256)</f>
        <v>3</v>
      </c>
      <c r="K83" s="37"/>
      <c r="L83" s="37"/>
    </row>
    <row r="84" spans="1:12" s="20" customFormat="1" x14ac:dyDescent="0.25">
      <c r="A84" s="31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0x24</v>
      </c>
      <c r="J84" s="20" t="str">
        <f>DEC2HEX(MOD(K84,256))</f>
        <v>24</v>
      </c>
      <c r="K84" s="37">
        <f>L73+M73</f>
        <v>36</v>
      </c>
      <c r="L84" s="37"/>
    </row>
    <row r="85" spans="1:12" s="20" customFormat="1" x14ac:dyDescent="0.25">
      <c r="A85" s="31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31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283</v>
      </c>
      <c r="G86" s="22" t="s">
        <v>38</v>
      </c>
      <c r="H86" s="21" t="s">
        <v>33</v>
      </c>
      <c r="I86" s="21" t="str">
        <f t="shared" si="0"/>
        <v>0x03</v>
      </c>
      <c r="J86" s="20" t="str">
        <f>DEC2HEX(MOD(K86,256))</f>
        <v>3</v>
      </c>
      <c r="K86" s="37">
        <f>L73+M73+N73-1</f>
        <v>515</v>
      </c>
      <c r="L86" s="37"/>
    </row>
    <row r="87" spans="1:12" s="20" customFormat="1" x14ac:dyDescent="0.25">
      <c r="A87" s="31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283</v>
      </c>
      <c r="G87" s="24" t="s">
        <v>40</v>
      </c>
      <c r="H87" s="21" t="s">
        <v>33</v>
      </c>
      <c r="I87" s="21" t="str">
        <f t="shared" si="0"/>
        <v>0x02</v>
      </c>
      <c r="J87" s="20" t="str">
        <f>DEC2HEX((K86-MOD(K86,256))/256)</f>
        <v>2</v>
      </c>
      <c r="K87" s="37"/>
      <c r="L87" s="37"/>
    </row>
    <row r="88" spans="1:12" s="20" customFormat="1" x14ac:dyDescent="0.25">
      <c r="A88" s="31" t="s">
        <v>184</v>
      </c>
      <c r="B88" s="50" t="s">
        <v>197</v>
      </c>
      <c r="C88" s="32" t="s">
        <v>196</v>
      </c>
      <c r="D88" s="21" t="s">
        <v>302</v>
      </c>
      <c r="E88" s="21" t="s">
        <v>37</v>
      </c>
      <c r="F88" s="21" t="s">
        <v>286</v>
      </c>
      <c r="G88" s="22" t="s">
        <v>38</v>
      </c>
      <c r="H88" s="21" t="s">
        <v>33</v>
      </c>
      <c r="I88" s="21" t="str">
        <f t="shared" si="0"/>
        <v>0x7A</v>
      </c>
      <c r="J88" s="20" t="str">
        <f>DEC2HEX(MOD(K88,256))</f>
        <v>7A</v>
      </c>
      <c r="K88" s="37">
        <f>L70+M70</f>
        <v>122</v>
      </c>
      <c r="L88" s="37"/>
    </row>
    <row r="89" spans="1:12" s="20" customFormat="1" x14ac:dyDescent="0.25">
      <c r="A89" s="31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286</v>
      </c>
      <c r="G89" s="24" t="s">
        <v>40</v>
      </c>
      <c r="H89" s="21" t="s">
        <v>33</v>
      </c>
      <c r="I89" s="21" t="str">
        <f t="shared" si="0"/>
        <v>0x00</v>
      </c>
      <c r="J89" s="20" t="str">
        <f>DEC2HEX((K88-MOD(K88,256))/256)</f>
        <v>0</v>
      </c>
      <c r="K89" s="37"/>
      <c r="L89" s="37"/>
    </row>
    <row r="90" spans="1:12" s="20" customFormat="1" x14ac:dyDescent="0.25">
      <c r="A90" s="31" t="s">
        <v>184</v>
      </c>
      <c r="B90" s="50" t="s">
        <v>198</v>
      </c>
      <c r="C90" s="32" t="s">
        <v>196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0x49</v>
      </c>
      <c r="J90" s="20" t="str">
        <f>DEC2HEX(MOD(K90,256))</f>
        <v>49</v>
      </c>
      <c r="K90" s="37">
        <f>L70+M70+N70-1</f>
        <v>841</v>
      </c>
      <c r="L90" s="37"/>
    </row>
    <row r="91" spans="1:12" s="20" customFormat="1" x14ac:dyDescent="0.25">
      <c r="A91" s="31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0x03</v>
      </c>
      <c r="J91" s="20" t="str">
        <f>DEC2HEX((K90-MOD(K90,256))/256)</f>
        <v>3</v>
      </c>
      <c r="K91" s="37"/>
      <c r="L91" s="37"/>
    </row>
    <row r="92" spans="1:12" s="20" customFormat="1" x14ac:dyDescent="0.25">
      <c r="A92" s="31" t="s">
        <v>184</v>
      </c>
      <c r="B92" s="50" t="s">
        <v>199</v>
      </c>
      <c r="C92" s="32"/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0x24</v>
      </c>
      <c r="J92" s="20" t="str">
        <f>DEC2HEX(MOD(K92,256))</f>
        <v>24</v>
      </c>
      <c r="K92" s="37">
        <f>L73+M73</f>
        <v>36</v>
      </c>
      <c r="L92" s="37"/>
    </row>
    <row r="93" spans="1:12" s="20" customFormat="1" x14ac:dyDescent="0.25">
      <c r="A93" s="31" t="s">
        <v>184</v>
      </c>
      <c r="B93" s="50" t="s">
        <v>200</v>
      </c>
      <c r="C93" s="32"/>
      <c r="D93" s="21" t="s">
        <v>302</v>
      </c>
      <c r="E93" s="21" t="s">
        <v>37</v>
      </c>
      <c r="F93" s="21" t="s">
        <v>287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31" t="s">
        <v>184</v>
      </c>
      <c r="B94" s="50" t="s">
        <v>201</v>
      </c>
      <c r="C94" s="32"/>
      <c r="D94" s="21" t="s">
        <v>302</v>
      </c>
      <c r="E94" s="21" t="s">
        <v>37</v>
      </c>
      <c r="F94" s="21" t="s">
        <v>281</v>
      </c>
      <c r="G94" s="22" t="s">
        <v>38</v>
      </c>
      <c r="H94" s="21" t="s">
        <v>33</v>
      </c>
      <c r="I94" s="21" t="str">
        <f t="shared" si="0"/>
        <v>0x03</v>
      </c>
      <c r="J94" s="20" t="str">
        <f>DEC2HEX(MOD(K94,256))</f>
        <v>3</v>
      </c>
      <c r="K94" s="37">
        <f>L73+M73+N73-1</f>
        <v>515</v>
      </c>
      <c r="L94" s="37"/>
    </row>
    <row r="95" spans="1:12" s="20" customFormat="1" x14ac:dyDescent="0.25">
      <c r="A95" s="31" t="s">
        <v>184</v>
      </c>
      <c r="B95" s="50" t="s">
        <v>202</v>
      </c>
      <c r="C95" s="32"/>
      <c r="D95" s="21" t="s">
        <v>302</v>
      </c>
      <c r="E95" s="21" t="s">
        <v>37</v>
      </c>
      <c r="F95" s="21" t="s">
        <v>281</v>
      </c>
      <c r="G95" s="24" t="s">
        <v>40</v>
      </c>
      <c r="H95" s="21" t="s">
        <v>33</v>
      </c>
      <c r="I95" s="21" t="str">
        <f t="shared" si="0"/>
        <v>0x02</v>
      </c>
      <c r="J95" s="20" t="str">
        <f>DEC2HEX((K94-MOD(K94,256))/256)</f>
        <v>2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222</v>
      </c>
      <c r="G96" s="22" t="s">
        <v>38</v>
      </c>
      <c r="H96" s="21" t="s">
        <v>33</v>
      </c>
      <c r="I96" s="21" t="s">
        <v>164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363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31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207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31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208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31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0x3D</v>
      </c>
      <c r="J103" s="20" t="str">
        <f>DEC2HEX(MOD(K103,256))</f>
        <v>3D</v>
      </c>
      <c r="K103" s="37">
        <f>L70-1</f>
        <v>61</v>
      </c>
      <c r="L103" s="37"/>
    </row>
    <row r="104" spans="1:12" s="20" customFormat="1" x14ac:dyDescent="0.25">
      <c r="A104" s="31" t="s">
        <v>184</v>
      </c>
      <c r="B104" s="32" t="s">
        <v>206</v>
      </c>
      <c r="C104" s="32"/>
      <c r="D104" s="21" t="s">
        <v>302</v>
      </c>
      <c r="E104" s="21" t="s">
        <v>37</v>
      </c>
      <c r="F104" s="21" t="s">
        <v>209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31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0x7A</v>
      </c>
      <c r="J105" s="20" t="str">
        <f>DEC2HEX(MOD(K105,256))</f>
        <v>7A</v>
      </c>
      <c r="K105" s="37">
        <f>L70+M70</f>
        <v>122</v>
      </c>
      <c r="L105" s="37"/>
    </row>
    <row r="106" spans="1:12" s="20" customFormat="1" x14ac:dyDescent="0.25">
      <c r="A106" s="31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218</v>
      </c>
      <c r="G106" s="24" t="s">
        <v>40</v>
      </c>
      <c r="H106" s="21" t="s">
        <v>33</v>
      </c>
      <c r="I106" s="21" t="str">
        <f t="shared" si="1"/>
        <v>0x00</v>
      </c>
      <c r="J106" s="20" t="str">
        <f>DEC2HEX((K105-MOD(K105,256))/256)</f>
        <v>0</v>
      </c>
      <c r="K106" s="37"/>
      <c r="L106" s="37"/>
    </row>
    <row r="107" spans="1:12" s="20" customFormat="1" x14ac:dyDescent="0.25">
      <c r="A107" s="31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0x49</v>
      </c>
      <c r="J107" s="20" t="str">
        <f>DEC2HEX(MOD(K107,256))</f>
        <v>49</v>
      </c>
      <c r="K107" s="37">
        <f>L70+M70+N70-1</f>
        <v>841</v>
      </c>
      <c r="L107" s="37"/>
    </row>
    <row r="108" spans="1:12" s="20" customFormat="1" x14ac:dyDescent="0.25">
      <c r="A108" s="31" t="s">
        <v>184</v>
      </c>
      <c r="B108" s="32" t="s">
        <v>213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0x03</v>
      </c>
      <c r="J108" s="20" t="str">
        <f>DEC2HEX((K107-MOD(K107,256))/256)</f>
        <v>3</v>
      </c>
      <c r="K108" s="37"/>
      <c r="L108" s="37"/>
    </row>
    <row r="109" spans="1:12" s="20" customFormat="1" x14ac:dyDescent="0.25">
      <c r="A109" s="31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220</v>
      </c>
      <c r="G109" s="22" t="s">
        <v>38</v>
      </c>
      <c r="H109" s="21" t="s">
        <v>33</v>
      </c>
      <c r="I109" s="21" t="str">
        <f t="shared" si="1"/>
        <v>0x24</v>
      </c>
      <c r="J109" s="20" t="str">
        <f>DEC2HEX(MOD(K109,256))</f>
        <v>24</v>
      </c>
      <c r="K109" s="37">
        <f>L73+M73</f>
        <v>36</v>
      </c>
      <c r="L109" s="37"/>
    </row>
    <row r="110" spans="1:12" s="20" customFormat="1" x14ac:dyDescent="0.25">
      <c r="A110" s="31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31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293</v>
      </c>
      <c r="G111" s="22" t="s">
        <v>38</v>
      </c>
      <c r="H111" s="21" t="s">
        <v>33</v>
      </c>
      <c r="I111" s="21" t="str">
        <f t="shared" si="1"/>
        <v>0x03</v>
      </c>
      <c r="J111" s="20" t="str">
        <f>DEC2HEX(MOD(K111,256))</f>
        <v>3</v>
      </c>
      <c r="K111" s="37">
        <f>L73+M73+N73-1</f>
        <v>515</v>
      </c>
      <c r="L111" s="37"/>
    </row>
    <row r="112" spans="1:12" s="20" customFormat="1" x14ac:dyDescent="0.25">
      <c r="A112" s="31" t="s">
        <v>184</v>
      </c>
      <c r="B112" s="32" t="s">
        <v>216</v>
      </c>
      <c r="C112" s="32"/>
      <c r="D112" s="21" t="s">
        <v>302</v>
      </c>
      <c r="E112" s="21" t="s">
        <v>37</v>
      </c>
      <c r="F112" s="21" t="s">
        <v>295</v>
      </c>
      <c r="G112" s="24" t="s">
        <v>40</v>
      </c>
      <c r="H112" s="21" t="s">
        <v>33</v>
      </c>
      <c r="I112" s="21" t="str">
        <f t="shared" si="1"/>
        <v>0x02</v>
      </c>
      <c r="J112" s="20" t="str">
        <f>DEC2HEX((K111-MOD(K111,256))/256)</f>
        <v>2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373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517</v>
      </c>
      <c r="C119" s="32" t="s">
        <v>519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409</v>
      </c>
      <c r="B122" s="50" t="s">
        <v>360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350</v>
      </c>
      <c r="I122" s="21" t="s">
        <v>41</v>
      </c>
      <c r="K122" s="37"/>
      <c r="L122" s="37"/>
    </row>
    <row r="123" spans="1:12" s="20" customFormat="1" x14ac:dyDescent="0.25">
      <c r="A123" s="31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384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386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309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386</v>
      </c>
      <c r="C125" s="32" t="s">
        <v>223</v>
      </c>
      <c r="D125" s="21" t="s">
        <v>305</v>
      </c>
      <c r="E125" s="21" t="s">
        <v>37</v>
      </c>
      <c r="F125" s="21" t="s">
        <v>171</v>
      </c>
      <c r="G125" s="24" t="s">
        <v>309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392</v>
      </c>
      <c r="C126" s="32" t="s">
        <v>223</v>
      </c>
      <c r="D126" s="21" t="s">
        <v>305</v>
      </c>
      <c r="E126" s="21" t="s">
        <v>37</v>
      </c>
      <c r="F126" s="21" t="s">
        <v>396</v>
      </c>
      <c r="G126" s="22" t="s">
        <v>38</v>
      </c>
      <c r="H126" s="21" t="s">
        <v>398</v>
      </c>
      <c r="I126" s="21" t="s">
        <v>402</v>
      </c>
      <c r="K126" s="37"/>
      <c r="L126" s="37"/>
    </row>
    <row r="127" spans="1:12" s="20" customFormat="1" x14ac:dyDescent="0.25">
      <c r="A127" s="31" t="s">
        <v>184</v>
      </c>
      <c r="B127" s="50" t="s">
        <v>392</v>
      </c>
      <c r="C127" s="32" t="s">
        <v>223</v>
      </c>
      <c r="D127" s="21" t="s">
        <v>305</v>
      </c>
      <c r="E127" s="21" t="s">
        <v>37</v>
      </c>
      <c r="F127" s="21" t="s">
        <v>396</v>
      </c>
      <c r="G127" s="22" t="s">
        <v>38</v>
      </c>
      <c r="H127" s="21" t="s">
        <v>401</v>
      </c>
      <c r="I127" s="21" t="s">
        <v>39</v>
      </c>
      <c r="K127" s="37"/>
      <c r="L127" s="37"/>
    </row>
    <row r="128" spans="1:12" s="20" customFormat="1" x14ac:dyDescent="0.25">
      <c r="A128" s="31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312</v>
      </c>
      <c r="K128" s="37"/>
      <c r="L128" s="37"/>
    </row>
    <row r="129" spans="1:12" s="20" customFormat="1" x14ac:dyDescent="0.25">
      <c r="A129" s="31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121</v>
      </c>
      <c r="G129" s="24" t="s">
        <v>40</v>
      </c>
      <c r="H129" s="21" t="s">
        <v>33</v>
      </c>
      <c r="I129" s="21" t="s">
        <v>312</v>
      </c>
      <c r="K129" s="37"/>
      <c r="L129" s="37"/>
    </row>
    <row r="130" spans="1:12" s="20" customFormat="1" x14ac:dyDescent="0.25">
      <c r="A130" s="31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312</v>
      </c>
      <c r="K130" s="37"/>
      <c r="L130" s="37"/>
    </row>
    <row r="131" spans="1:12" s="20" customFormat="1" x14ac:dyDescent="0.25">
      <c r="A131" s="31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126</v>
      </c>
      <c r="G131" s="24" t="s">
        <v>40</v>
      </c>
      <c r="H131" s="21" t="s">
        <v>33</v>
      </c>
      <c r="I131" s="21" t="s">
        <v>312</v>
      </c>
      <c r="K131" s="37"/>
      <c r="L131" s="37"/>
    </row>
    <row r="132" spans="1:12" s="20" customFormat="1" x14ac:dyDescent="0.25">
      <c r="A132" s="31" t="s">
        <v>451</v>
      </c>
      <c r="B132" s="32" t="s">
        <v>452</v>
      </c>
      <c r="C132" s="32"/>
      <c r="D132" s="21" t="s">
        <v>308</v>
      </c>
      <c r="E132" s="21" t="s">
        <v>37</v>
      </c>
      <c r="F132" s="21" t="s">
        <v>454</v>
      </c>
      <c r="G132" s="22" t="s">
        <v>38</v>
      </c>
      <c r="H132" s="21" t="s">
        <v>456</v>
      </c>
      <c r="I132" s="21" t="s">
        <v>458</v>
      </c>
      <c r="K132" s="37"/>
      <c r="L132" s="37"/>
    </row>
    <row r="133" spans="1:12" s="20" customFormat="1" x14ac:dyDescent="0.25">
      <c r="A133" s="31" t="s">
        <v>451</v>
      </c>
      <c r="B133" s="32" t="s">
        <v>459</v>
      </c>
      <c r="C133" s="32"/>
      <c r="D133" s="21" t="s">
        <v>308</v>
      </c>
      <c r="E133" s="21" t="s">
        <v>37</v>
      </c>
      <c r="F133" s="21" t="s">
        <v>454</v>
      </c>
      <c r="G133" s="24" t="s">
        <v>460</v>
      </c>
      <c r="H133" s="21" t="s">
        <v>456</v>
      </c>
      <c r="I133" s="21" t="s">
        <v>461</v>
      </c>
      <c r="K133" s="37"/>
      <c r="L133" s="37"/>
    </row>
    <row r="134" spans="1:12" s="20" customFormat="1" x14ac:dyDescent="0.25">
      <c r="A134" s="31" t="s">
        <v>451</v>
      </c>
      <c r="B134" s="32" t="s">
        <v>462</v>
      </c>
      <c r="C134" s="32"/>
      <c r="D134" s="21" t="s">
        <v>308</v>
      </c>
      <c r="E134" s="21" t="s">
        <v>37</v>
      </c>
      <c r="F134" s="21" t="s">
        <v>458</v>
      </c>
      <c r="G134" s="22" t="s">
        <v>38</v>
      </c>
      <c r="H134" s="21" t="s">
        <v>456</v>
      </c>
      <c r="I134" s="21" t="s">
        <v>454</v>
      </c>
      <c r="K134" s="37"/>
      <c r="L134" s="37"/>
    </row>
    <row r="135" spans="1:12" s="20" customFormat="1" x14ac:dyDescent="0.25">
      <c r="A135" s="31" t="s">
        <v>451</v>
      </c>
      <c r="B135" s="32" t="s">
        <v>464</v>
      </c>
      <c r="C135" s="32"/>
      <c r="D135" s="21" t="s">
        <v>308</v>
      </c>
      <c r="E135" s="21" t="s">
        <v>37</v>
      </c>
      <c r="F135" s="21" t="s">
        <v>458</v>
      </c>
      <c r="G135" s="24" t="s">
        <v>460</v>
      </c>
      <c r="H135" s="21" t="s">
        <v>456</v>
      </c>
      <c r="I135" s="21" t="s">
        <v>458</v>
      </c>
      <c r="K135" s="37"/>
      <c r="L135" s="37"/>
    </row>
    <row r="136" spans="1:12" s="20" customFormat="1" x14ac:dyDescent="0.25">
      <c r="A136" s="31" t="s">
        <v>451</v>
      </c>
      <c r="B136" s="32" t="s">
        <v>504</v>
      </c>
      <c r="C136" s="32"/>
      <c r="D136" s="21" t="s">
        <v>308</v>
      </c>
      <c r="E136" s="21" t="s">
        <v>37</v>
      </c>
      <c r="F136" s="21" t="s">
        <v>506</v>
      </c>
      <c r="G136" s="22" t="s">
        <v>38</v>
      </c>
      <c r="H136" s="21" t="s">
        <v>33</v>
      </c>
      <c r="I136" s="21" t="s">
        <v>507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60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51:I52 I64 I39:I41 I128:I131 I117:I121 I3:I36" name="範圍1_3_3_1_1_1_2_1_1_2"/>
    <protectedRange password="EBC5" sqref="I65 I42 I113:I114 I96:I98 I47:I50 I122:I127 I137:I140 I55:I63" name="範圍1_3_3_1_1_1_2_1_1_2_2"/>
    <protectedRange password="EBC5" sqref="I101:I112 I68:I95 I43:I46" name="範圍1_3_3_1_1_1_2_1_1_2_1_2"/>
    <protectedRange password="EBC5" sqref="I132:I135" name="範圍1_3_3_1_1_1_2_1_1_2_1"/>
    <protectedRange password="EBC5" sqref="I136" name="範圍1_3_3_1_1_1_2_1_1_2_3"/>
  </protectedRanges>
  <mergeCells count="11">
    <mergeCell ref="L75:P75"/>
    <mergeCell ref="A99:C99"/>
    <mergeCell ref="L74:P74"/>
    <mergeCell ref="L68:P68"/>
    <mergeCell ref="L71:P71"/>
    <mergeCell ref="A1:C1"/>
    <mergeCell ref="D141:G141"/>
    <mergeCell ref="A53:C53"/>
    <mergeCell ref="A66:C66"/>
    <mergeCell ref="A37:C37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FF00"/>
  </sheetPr>
  <dimension ref="A1:U142"/>
  <sheetViews>
    <sheetView topLeftCell="A52" zoomScale="115" zoomScaleNormal="115" workbookViewId="0">
      <selection activeCell="A117" sqref="A117:XFD117"/>
    </sheetView>
  </sheetViews>
  <sheetFormatPr defaultRowHeight="16.5" x14ac:dyDescent="0.25"/>
  <cols>
    <col min="1" max="1" width="24.125" customWidth="1"/>
    <col min="2" max="2" width="30.7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7.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299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268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268</v>
      </c>
      <c r="G30" s="24" t="s">
        <v>40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31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272</v>
      </c>
      <c r="G32" s="22" t="s">
        <v>38</v>
      </c>
      <c r="H32" s="21" t="s">
        <v>33</v>
      </c>
      <c r="I32" s="21" t="s">
        <v>41</v>
      </c>
      <c r="K32" s="37"/>
      <c r="L32" s="37"/>
    </row>
    <row r="33" spans="1:14" s="20" customFormat="1" x14ac:dyDescent="0.25">
      <c r="A33" s="31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272</v>
      </c>
      <c r="G33" s="24" t="s">
        <v>40</v>
      </c>
      <c r="H33" s="21" t="s">
        <v>33</v>
      </c>
      <c r="I33" s="21" t="s">
        <v>125</v>
      </c>
      <c r="K33" s="37"/>
      <c r="L33" s="37"/>
    </row>
    <row r="34" spans="1:14" s="20" customFormat="1" ht="38.25" x14ac:dyDescent="0.25">
      <c r="A34" s="31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277</v>
      </c>
      <c r="G34" s="22" t="s">
        <v>38</v>
      </c>
      <c r="H34" s="21" t="s">
        <v>33</v>
      </c>
      <c r="I34" s="21" t="s">
        <v>135</v>
      </c>
      <c r="K34" s="37"/>
      <c r="L34" s="37" t="s">
        <v>383</v>
      </c>
      <c r="M34" s="20" t="str">
        <f>IF(I34="0x13","0.5",IF(I34="0x12","1","2"))</f>
        <v>0.5</v>
      </c>
    </row>
    <row r="35" spans="1:14" s="20" customFormat="1" x14ac:dyDescent="0.25">
      <c r="A35" s="60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60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407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31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0x00</v>
      </c>
      <c r="J39" s="20" t="str">
        <f>DEC2HEX(MOD(N39,256))</f>
        <v>0</v>
      </c>
      <c r="K39" s="37" t="str">
        <f>DEC2HEX(N39)</f>
        <v>400000</v>
      </c>
      <c r="L39" s="78" t="s">
        <v>377</v>
      </c>
      <c r="M39" s="75">
        <f>432*524288/(P70*P73*L75/1000000)</f>
        <v>8388608</v>
      </c>
      <c r="N39" s="75">
        <f>(M39*M34)</f>
        <v>4194304</v>
      </c>
    </row>
    <row r="40" spans="1:14" s="20" customFormat="1" x14ac:dyDescent="0.25">
      <c r="A40" s="31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0x00</v>
      </c>
      <c r="J40" s="20" t="str">
        <f>DEC2HEX(MOD((N39-MOD(N39,256))/256,256))</f>
        <v>0</v>
      </c>
      <c r="K40" s="37"/>
      <c r="L40" s="78" t="s">
        <v>378</v>
      </c>
      <c r="M40" s="75">
        <f>16*524288/(P70*P73)</f>
        <v>15.534459259259259</v>
      </c>
      <c r="N40" s="75"/>
    </row>
    <row r="41" spans="1:14" s="20" customFormat="1" x14ac:dyDescent="0.25">
      <c r="A41" s="31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0x40</v>
      </c>
      <c r="J41" s="20" t="str">
        <f>DEC2HEX((N39-MOD(N39,256))/65536)</f>
        <v>40</v>
      </c>
      <c r="K41" s="37"/>
      <c r="L41" s="78" t="s">
        <v>382</v>
      </c>
      <c r="M41" s="75">
        <f>IF(M40&gt;16,M40*128, M40*256)</f>
        <v>3976.8215703703704</v>
      </c>
      <c r="N41" s="75"/>
    </row>
    <row r="42" spans="1:14" s="20" customFormat="1" x14ac:dyDescent="0.25">
      <c r="A42" s="31" t="s">
        <v>224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283</v>
      </c>
      <c r="G42" s="22" t="s">
        <v>38</v>
      </c>
      <c r="H42" s="21" t="s">
        <v>33</v>
      </c>
      <c r="I42" s="21" t="s">
        <v>438</v>
      </c>
      <c r="K42" s="37" t="str">
        <f>DEC2HEX(M41)</f>
        <v>F88</v>
      </c>
      <c r="L42" s="37"/>
    </row>
    <row r="43" spans="1:14" s="20" customFormat="1" x14ac:dyDescent="0.25">
      <c r="A43" s="31" t="s">
        <v>224</v>
      </c>
      <c r="B43" s="50" t="s">
        <v>239</v>
      </c>
      <c r="C43" s="32"/>
      <c r="D43" s="21" t="s">
        <v>305</v>
      </c>
      <c r="E43" s="21" t="s">
        <v>37</v>
      </c>
      <c r="F43" s="21" t="s">
        <v>283</v>
      </c>
      <c r="G43" s="24" t="s">
        <v>40</v>
      </c>
      <c r="H43" s="21" t="s">
        <v>33</v>
      </c>
      <c r="I43" s="21" t="s">
        <v>39</v>
      </c>
      <c r="K43" s="37"/>
      <c r="L43" s="37"/>
    </row>
    <row r="44" spans="1:14" s="20" customFormat="1" x14ac:dyDescent="0.25">
      <c r="A44" s="31" t="s">
        <v>429</v>
      </c>
      <c r="B44" s="50" t="s">
        <v>434</v>
      </c>
      <c r="C44" s="32"/>
      <c r="D44" s="21" t="s">
        <v>305</v>
      </c>
      <c r="E44" s="21" t="s">
        <v>37</v>
      </c>
      <c r="F44" s="21" t="s">
        <v>431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31" t="s">
        <v>421</v>
      </c>
      <c r="B45" s="50" t="s">
        <v>422</v>
      </c>
      <c r="C45" s="32"/>
      <c r="D45" s="21" t="s">
        <v>302</v>
      </c>
      <c r="E45" s="21" t="s">
        <v>37</v>
      </c>
      <c r="F45" s="21" t="s">
        <v>414</v>
      </c>
      <c r="G45" s="22" t="s">
        <v>38</v>
      </c>
      <c r="H45" s="21" t="s">
        <v>418</v>
      </c>
      <c r="I45" s="21" t="s">
        <v>428</v>
      </c>
      <c r="K45" s="37"/>
      <c r="L45" s="37"/>
    </row>
    <row r="46" spans="1:14" s="20" customFormat="1" x14ac:dyDescent="0.25">
      <c r="A46" s="31" t="s">
        <v>421</v>
      </c>
      <c r="B46" s="50" t="s">
        <v>419</v>
      </c>
      <c r="C46" s="32"/>
      <c r="D46" s="21" t="s">
        <v>302</v>
      </c>
      <c r="E46" s="21" t="s">
        <v>37</v>
      </c>
      <c r="F46" s="21" t="s">
        <v>414</v>
      </c>
      <c r="G46" s="24" t="s">
        <v>40</v>
      </c>
      <c r="H46" s="21" t="s">
        <v>417</v>
      </c>
      <c r="I46" s="21" t="s">
        <v>427</v>
      </c>
      <c r="K46" s="37"/>
      <c r="L46" s="37"/>
    </row>
    <row r="47" spans="1:14" s="20" customFormat="1" x14ac:dyDescent="0.25">
      <c r="A47" s="31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39</v>
      </c>
      <c r="K47" s="37"/>
      <c r="L47" s="37"/>
    </row>
    <row r="48" spans="1:14" s="20" customFormat="1" x14ac:dyDescent="0.25">
      <c r="A48" s="31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31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31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169</v>
      </c>
      <c r="K50" s="37"/>
      <c r="L50" s="37"/>
    </row>
    <row r="51" spans="1:12" s="20" customFormat="1" x14ac:dyDescent="0.25">
      <c r="A51" s="60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60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232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279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39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348</v>
      </c>
      <c r="K59" s="37"/>
      <c r="L59" s="37"/>
    </row>
    <row r="60" spans="1:12" s="20" customFormat="1" x14ac:dyDescent="0.25">
      <c r="A60" s="31" t="s">
        <v>178</v>
      </c>
      <c r="B60" s="50" t="s">
        <v>353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31"/>
      <c r="B61" s="50" t="s">
        <v>345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523</v>
      </c>
      <c r="C62" s="32"/>
      <c r="D62" s="21" t="s">
        <v>306</v>
      </c>
      <c r="E62" s="21" t="s">
        <v>37</v>
      </c>
      <c r="F62" s="21" t="s">
        <v>528</v>
      </c>
      <c r="G62" s="22" t="s">
        <v>38</v>
      </c>
      <c r="H62" s="21" t="s">
        <v>131</v>
      </c>
      <c r="I62" s="21" t="str">
        <f>IF(L77="NEG","0x01","0x00")</f>
        <v>0x00</v>
      </c>
      <c r="K62" s="37"/>
      <c r="L62" s="37"/>
    </row>
    <row r="63" spans="1:12" s="20" customFormat="1" x14ac:dyDescent="0.25">
      <c r="A63" s="31"/>
      <c r="B63" s="50" t="s">
        <v>525</v>
      </c>
      <c r="C63" s="32"/>
      <c r="D63" s="21" t="s">
        <v>306</v>
      </c>
      <c r="E63" s="21" t="s">
        <v>37</v>
      </c>
      <c r="F63" s="21" t="s">
        <v>528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60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31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0x5F</v>
      </c>
      <c r="J68" s="20" t="str">
        <f>DEC2HEX(MOD(K68,256))</f>
        <v>5F</v>
      </c>
      <c r="K68" s="37">
        <f>P70-1</f>
        <v>863</v>
      </c>
      <c r="L68" s="85" t="s">
        <v>40</v>
      </c>
      <c r="M68" s="85"/>
      <c r="N68" s="85"/>
      <c r="O68" s="85"/>
      <c r="P68" s="85"/>
    </row>
    <row r="69" spans="1:16" s="20" customFormat="1" x14ac:dyDescent="0.25">
      <c r="A69" s="57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0x03</v>
      </c>
      <c r="J69" s="20" t="str">
        <f>DEC2HEX((K68-MOD(K68,256))/256)</f>
        <v>3</v>
      </c>
      <c r="K69" s="37"/>
      <c r="L69" s="71" t="s">
        <v>313</v>
      </c>
      <c r="M69" s="71" t="s">
        <v>314</v>
      </c>
      <c r="N69" s="71" t="s">
        <v>315</v>
      </c>
      <c r="O69" s="71" t="s">
        <v>316</v>
      </c>
      <c r="P69" s="71" t="s">
        <v>317</v>
      </c>
    </row>
    <row r="70" spans="1:16" s="20" customFormat="1" x14ac:dyDescent="0.25">
      <c r="A70" s="31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0x70</v>
      </c>
      <c r="J70" s="20" t="str">
        <f>DEC2HEX(MOD(K70,256))</f>
        <v>70</v>
      </c>
      <c r="K70" s="37">
        <f>P73-1</f>
        <v>624</v>
      </c>
      <c r="L70" s="72">
        <v>64</v>
      </c>
      <c r="M70" s="72">
        <v>68</v>
      </c>
      <c r="N70" s="72">
        <v>720</v>
      </c>
      <c r="O70" s="72">
        <f>P70-N70-M70-L70</f>
        <v>12</v>
      </c>
      <c r="P70" s="72">
        <v>864</v>
      </c>
    </row>
    <row r="71" spans="1:16" s="20" customFormat="1" x14ac:dyDescent="0.25">
      <c r="A71" s="31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145</v>
      </c>
      <c r="G71" s="24" t="s">
        <v>40</v>
      </c>
      <c r="H71" s="21" t="s">
        <v>33</v>
      </c>
      <c r="I71" s="21" t="str">
        <f t="shared" si="0"/>
        <v>0x02</v>
      </c>
      <c r="J71" s="20" t="str">
        <f>DEC2HEX((K70-MOD(K70,256))/256)</f>
        <v>2</v>
      </c>
      <c r="K71" s="37"/>
      <c r="L71" s="85" t="s">
        <v>318</v>
      </c>
      <c r="M71" s="85"/>
      <c r="N71" s="85"/>
      <c r="O71" s="85"/>
      <c r="P71" s="85"/>
    </row>
    <row r="72" spans="1:16" s="20" customFormat="1" x14ac:dyDescent="0.25">
      <c r="A72" s="31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135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313</v>
      </c>
      <c r="M72" s="71" t="s">
        <v>314</v>
      </c>
      <c r="N72" s="71" t="s">
        <v>315</v>
      </c>
      <c r="O72" s="71" t="s">
        <v>316</v>
      </c>
      <c r="P72" s="71" t="s">
        <v>317</v>
      </c>
    </row>
    <row r="73" spans="1:16" s="20" customFormat="1" x14ac:dyDescent="0.25">
      <c r="A73" s="31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5</v>
      </c>
      <c r="M73" s="72">
        <v>39</v>
      </c>
      <c r="N73" s="72">
        <v>576</v>
      </c>
      <c r="O73" s="72">
        <f>P73-N73-M73-L73</f>
        <v>5</v>
      </c>
      <c r="P73" s="72">
        <v>625</v>
      </c>
    </row>
    <row r="74" spans="1:16" s="20" customFormat="1" x14ac:dyDescent="0.25">
      <c r="A74" s="31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71</v>
      </c>
      <c r="G74" s="22" t="s">
        <v>38</v>
      </c>
      <c r="H74" s="21" t="s">
        <v>33</v>
      </c>
      <c r="I74" s="21" t="str">
        <f t="shared" si="0"/>
        <v>0x3F</v>
      </c>
      <c r="J74" s="20" t="str">
        <f>DEC2HEX(MOD(K74,256))</f>
        <v>3F</v>
      </c>
      <c r="K74" s="37">
        <f>L70-1</f>
        <v>63</v>
      </c>
      <c r="L74" s="85" t="s">
        <v>319</v>
      </c>
      <c r="M74" s="85"/>
      <c r="N74" s="85"/>
      <c r="O74" s="85"/>
      <c r="P74" s="85"/>
    </row>
    <row r="75" spans="1:16" s="20" customFormat="1" x14ac:dyDescent="0.25">
      <c r="A75" s="31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50</v>
      </c>
      <c r="M75" s="84"/>
      <c r="N75" s="84"/>
      <c r="O75" s="84"/>
      <c r="P75" s="84"/>
    </row>
    <row r="76" spans="1:16" s="20" customFormat="1" x14ac:dyDescent="0.25">
      <c r="A76" s="31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534</v>
      </c>
      <c r="M76" s="80" t="s">
        <v>536</v>
      </c>
    </row>
    <row r="77" spans="1:16" s="20" customFormat="1" x14ac:dyDescent="0.25">
      <c r="A77" s="31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540</v>
      </c>
      <c r="M77" s="72" t="s">
        <v>540</v>
      </c>
    </row>
    <row r="78" spans="1:16" s="20" customFormat="1" x14ac:dyDescent="0.25">
      <c r="A78" s="31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0x04</v>
      </c>
      <c r="J78" s="20" t="str">
        <f>DEC2HEX(MOD(K78,256))</f>
        <v>4</v>
      </c>
      <c r="K78" s="37">
        <f>L73-1</f>
        <v>4</v>
      </c>
      <c r="L78" s="37"/>
    </row>
    <row r="79" spans="1:16" s="20" customFormat="1" x14ac:dyDescent="0.25">
      <c r="A79" s="31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31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54</v>
      </c>
      <c r="G80" s="22" t="s">
        <v>38</v>
      </c>
      <c r="H80" s="21" t="s">
        <v>33</v>
      </c>
      <c r="I80" s="21" t="str">
        <f t="shared" si="0"/>
        <v>0x84</v>
      </c>
      <c r="J80" s="20" t="str">
        <f>DEC2HEX(MOD(K80,256))</f>
        <v>84</v>
      </c>
      <c r="K80" s="37">
        <f>L70+M70</f>
        <v>132</v>
      </c>
      <c r="L80" s="37"/>
    </row>
    <row r="81" spans="1:12" s="20" customFormat="1" x14ac:dyDescent="0.25">
      <c r="A81" s="31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54</v>
      </c>
      <c r="G81" s="24" t="s">
        <v>40</v>
      </c>
      <c r="H81" s="21" t="s">
        <v>33</v>
      </c>
      <c r="I81" s="21" t="str">
        <f t="shared" si="0"/>
        <v>0x00</v>
      </c>
      <c r="J81" s="20" t="str">
        <f>DEC2HEX((K80-MOD(K80,256))/256)</f>
        <v>0</v>
      </c>
      <c r="K81" s="37"/>
      <c r="L81" s="37"/>
    </row>
    <row r="82" spans="1:12" s="20" customFormat="1" x14ac:dyDescent="0.25">
      <c r="A82" s="31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0x53</v>
      </c>
      <c r="J82" s="20" t="str">
        <f>DEC2HEX(MOD(K82,256))</f>
        <v>53</v>
      </c>
      <c r="K82" s="37">
        <f>L70+M70+N70-1</f>
        <v>851</v>
      </c>
      <c r="L82" s="37"/>
    </row>
    <row r="83" spans="1:12" s="20" customFormat="1" x14ac:dyDescent="0.25">
      <c r="A83" s="31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0x03</v>
      </c>
      <c r="J83" s="20" t="str">
        <f>DEC2HEX((K82-MOD(K82,256))/256)</f>
        <v>3</v>
      </c>
      <c r="K83" s="37"/>
      <c r="L83" s="37"/>
    </row>
    <row r="84" spans="1:12" s="20" customFormat="1" x14ac:dyDescent="0.25">
      <c r="A84" s="31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0x2C</v>
      </c>
      <c r="J84" s="20" t="str">
        <f>DEC2HEX(MOD(K84,256))</f>
        <v>2C</v>
      </c>
      <c r="K84" s="37">
        <f>L73+M73</f>
        <v>44</v>
      </c>
      <c r="L84" s="37"/>
    </row>
    <row r="85" spans="1:12" s="20" customFormat="1" x14ac:dyDescent="0.25">
      <c r="A85" s="31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149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31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283</v>
      </c>
      <c r="G86" s="22" t="s">
        <v>38</v>
      </c>
      <c r="H86" s="21" t="s">
        <v>33</v>
      </c>
      <c r="I86" s="21" t="str">
        <f t="shared" si="0"/>
        <v>0x6B</v>
      </c>
      <c r="J86" s="20" t="str">
        <f>DEC2HEX(MOD(K86,256))</f>
        <v>6B</v>
      </c>
      <c r="K86" s="37">
        <f>L73+M73+N73-1</f>
        <v>619</v>
      </c>
      <c r="L86" s="37"/>
    </row>
    <row r="87" spans="1:12" s="20" customFormat="1" x14ac:dyDescent="0.25">
      <c r="A87" s="31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283</v>
      </c>
      <c r="G87" s="24" t="s">
        <v>40</v>
      </c>
      <c r="H87" s="21" t="s">
        <v>33</v>
      </c>
      <c r="I87" s="21" t="str">
        <f t="shared" si="0"/>
        <v>0x02</v>
      </c>
      <c r="J87" s="20" t="str">
        <f>DEC2HEX((K86-MOD(K86,256))/256)</f>
        <v>2</v>
      </c>
      <c r="K87" s="37"/>
      <c r="L87" s="37"/>
    </row>
    <row r="88" spans="1:12" s="20" customFormat="1" x14ac:dyDescent="0.25">
      <c r="A88" s="31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272</v>
      </c>
      <c r="G88" s="22" t="s">
        <v>38</v>
      </c>
      <c r="H88" s="21" t="s">
        <v>33</v>
      </c>
      <c r="I88" s="21" t="str">
        <f t="shared" si="0"/>
        <v>0x84</v>
      </c>
      <c r="J88" s="20" t="str">
        <f>DEC2HEX(MOD(K88,256))</f>
        <v>84</v>
      </c>
      <c r="K88" s="37">
        <f>L70+M70</f>
        <v>132</v>
      </c>
      <c r="L88" s="37"/>
    </row>
    <row r="89" spans="1:12" s="20" customFormat="1" x14ac:dyDescent="0.25">
      <c r="A89" s="31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272</v>
      </c>
      <c r="G89" s="24" t="s">
        <v>40</v>
      </c>
      <c r="H89" s="21" t="s">
        <v>33</v>
      </c>
      <c r="I89" s="21" t="str">
        <f t="shared" si="0"/>
        <v>0x00</v>
      </c>
      <c r="J89" s="20" t="str">
        <f>DEC2HEX((K88-MOD(K88,256))/256)</f>
        <v>0</v>
      </c>
      <c r="K89" s="37"/>
      <c r="L89" s="37"/>
    </row>
    <row r="90" spans="1:12" s="20" customFormat="1" x14ac:dyDescent="0.25">
      <c r="A90" s="31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0x53</v>
      </c>
      <c r="J90" s="20" t="str">
        <f>DEC2HEX(MOD(K90,256))</f>
        <v>53</v>
      </c>
      <c r="K90" s="37">
        <f>L70+M70+N70-1</f>
        <v>851</v>
      </c>
      <c r="L90" s="37"/>
    </row>
    <row r="91" spans="1:12" s="20" customFormat="1" x14ac:dyDescent="0.25">
      <c r="A91" s="31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0x03</v>
      </c>
      <c r="J91" s="20" t="str">
        <f>DEC2HEX((K90-MOD(K90,256))/256)</f>
        <v>3</v>
      </c>
      <c r="K91" s="37"/>
      <c r="L91" s="37"/>
    </row>
    <row r="92" spans="1:12" s="20" customFormat="1" x14ac:dyDescent="0.25">
      <c r="A92" s="31" t="s">
        <v>184</v>
      </c>
      <c r="B92" s="50" t="s">
        <v>199</v>
      </c>
      <c r="C92" s="32"/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0x2C</v>
      </c>
      <c r="J92" s="20" t="str">
        <f>DEC2HEX(MOD(K92,256))</f>
        <v>2C</v>
      </c>
      <c r="K92" s="37">
        <f>L73+M73</f>
        <v>44</v>
      </c>
      <c r="L92" s="37"/>
    </row>
    <row r="93" spans="1:12" s="20" customFormat="1" x14ac:dyDescent="0.25">
      <c r="A93" s="31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287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31" t="s">
        <v>184</v>
      </c>
      <c r="B94" s="50" t="s">
        <v>201</v>
      </c>
      <c r="C94" s="32"/>
      <c r="D94" s="21" t="s">
        <v>302</v>
      </c>
      <c r="E94" s="21" t="s">
        <v>37</v>
      </c>
      <c r="F94" s="21" t="s">
        <v>279</v>
      </c>
      <c r="G94" s="22" t="s">
        <v>38</v>
      </c>
      <c r="H94" s="21" t="s">
        <v>33</v>
      </c>
      <c r="I94" s="21" t="str">
        <f t="shared" si="0"/>
        <v>0x6B</v>
      </c>
      <c r="J94" s="20" t="str">
        <f>DEC2HEX(MOD(K94,256))</f>
        <v>6B</v>
      </c>
      <c r="K94" s="37">
        <f>L73+M73+N73-1</f>
        <v>619</v>
      </c>
      <c r="L94" s="37"/>
    </row>
    <row r="95" spans="1:12" s="20" customFormat="1" x14ac:dyDescent="0.25">
      <c r="A95" s="31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279</v>
      </c>
      <c r="G95" s="24" t="s">
        <v>40</v>
      </c>
      <c r="H95" s="21" t="s">
        <v>33</v>
      </c>
      <c r="I95" s="21" t="str">
        <f t="shared" si="0"/>
        <v>0x02</v>
      </c>
      <c r="J95" s="20" t="str">
        <f>DEC2HEX((K94-MOD(K94,256))/256)</f>
        <v>2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363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31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31" t="s">
        <v>184</v>
      </c>
      <c r="B102" s="32" t="s">
        <v>203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31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0x3F</v>
      </c>
      <c r="J103" s="20" t="str">
        <f>DEC2HEX(MOD(K103,256))</f>
        <v>3F</v>
      </c>
      <c r="K103" s="37">
        <f>L70-1</f>
        <v>63</v>
      </c>
      <c r="L103" s="37"/>
    </row>
    <row r="104" spans="1:12" s="20" customFormat="1" x14ac:dyDescent="0.25">
      <c r="A104" s="31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31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0x84</v>
      </c>
      <c r="J105" s="20" t="str">
        <f>DEC2HEX(MOD(K105,256))</f>
        <v>84</v>
      </c>
      <c r="K105" s="37">
        <f>L70+M70</f>
        <v>132</v>
      </c>
      <c r="L105" s="37"/>
    </row>
    <row r="106" spans="1:12" s="20" customFormat="1" x14ac:dyDescent="0.25">
      <c r="A106" s="31" t="s">
        <v>184</v>
      </c>
      <c r="B106" s="32" t="s">
        <v>210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0x00</v>
      </c>
      <c r="J106" s="20" t="str">
        <f>DEC2HEX((K105-MOD(K105,256))/256)</f>
        <v>0</v>
      </c>
      <c r="K106" s="37"/>
      <c r="L106" s="37"/>
    </row>
    <row r="107" spans="1:12" s="20" customFormat="1" x14ac:dyDescent="0.25">
      <c r="A107" s="31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0x53</v>
      </c>
      <c r="J107" s="20" t="str">
        <f>DEC2HEX(MOD(K107,256))</f>
        <v>53</v>
      </c>
      <c r="K107" s="37">
        <f>L70+M70+N70-1</f>
        <v>851</v>
      </c>
      <c r="L107" s="37"/>
    </row>
    <row r="108" spans="1:12" s="20" customFormat="1" x14ac:dyDescent="0.25">
      <c r="A108" s="31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0x03</v>
      </c>
      <c r="J108" s="20" t="str">
        <f>DEC2HEX((K107-MOD(K107,256))/256)</f>
        <v>3</v>
      </c>
      <c r="K108" s="37"/>
      <c r="L108" s="37"/>
    </row>
    <row r="109" spans="1:12" s="20" customFormat="1" x14ac:dyDescent="0.25">
      <c r="A109" s="31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0x2C</v>
      </c>
      <c r="J109" s="20" t="str">
        <f>DEC2HEX(MOD(K109,256))</f>
        <v>2C</v>
      </c>
      <c r="K109" s="37">
        <f>L73+M73</f>
        <v>44</v>
      </c>
      <c r="L109" s="37"/>
    </row>
    <row r="110" spans="1:12" s="20" customFormat="1" x14ac:dyDescent="0.25">
      <c r="A110" s="31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31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293</v>
      </c>
      <c r="G111" s="22" t="s">
        <v>38</v>
      </c>
      <c r="H111" s="21" t="s">
        <v>33</v>
      </c>
      <c r="I111" s="21" t="str">
        <f t="shared" si="1"/>
        <v>0x6B</v>
      </c>
      <c r="J111" s="20" t="str">
        <f>DEC2HEX(MOD(K111,256))</f>
        <v>6B</v>
      </c>
      <c r="K111" s="37">
        <f>L73+M73+N73-1</f>
        <v>619</v>
      </c>
      <c r="L111" s="37"/>
    </row>
    <row r="112" spans="1:12" s="20" customFormat="1" x14ac:dyDescent="0.25">
      <c r="A112" s="31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293</v>
      </c>
      <c r="G112" s="24" t="s">
        <v>40</v>
      </c>
      <c r="H112" s="21" t="s">
        <v>33</v>
      </c>
      <c r="I112" s="21" t="str">
        <f t="shared" si="1"/>
        <v>0x02</v>
      </c>
      <c r="J112" s="20" t="str">
        <f>DEC2HEX((K111-MOD(K111,256))/256)</f>
        <v>2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517</v>
      </c>
      <c r="C119" s="32" t="s">
        <v>521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411</v>
      </c>
      <c r="B122" s="50" t="s">
        <v>360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350</v>
      </c>
      <c r="I122" s="21" t="s">
        <v>41</v>
      </c>
      <c r="K122" s="37"/>
      <c r="L122" s="37"/>
    </row>
    <row r="123" spans="1:12" s="20" customFormat="1" x14ac:dyDescent="0.25">
      <c r="A123" s="31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384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386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309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386</v>
      </c>
      <c r="C125" s="32" t="s">
        <v>223</v>
      </c>
      <c r="D125" s="21" t="s">
        <v>305</v>
      </c>
      <c r="E125" s="21" t="s">
        <v>37</v>
      </c>
      <c r="F125" s="21" t="s">
        <v>39</v>
      </c>
      <c r="G125" s="24" t="s">
        <v>309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393</v>
      </c>
      <c r="C126" s="32" t="s">
        <v>223</v>
      </c>
      <c r="D126" s="21" t="s">
        <v>305</v>
      </c>
      <c r="E126" s="21" t="s">
        <v>37</v>
      </c>
      <c r="F126" s="21" t="s">
        <v>397</v>
      </c>
      <c r="G126" s="22" t="s">
        <v>38</v>
      </c>
      <c r="H126" s="21" t="s">
        <v>399</v>
      </c>
      <c r="I126" s="21" t="s">
        <v>402</v>
      </c>
      <c r="K126" s="37"/>
      <c r="L126" s="37"/>
    </row>
    <row r="127" spans="1:12" s="20" customFormat="1" x14ac:dyDescent="0.25">
      <c r="A127" s="31" t="s">
        <v>184</v>
      </c>
      <c r="B127" s="50" t="s">
        <v>393</v>
      </c>
      <c r="C127" s="32" t="s">
        <v>223</v>
      </c>
      <c r="D127" s="21" t="s">
        <v>305</v>
      </c>
      <c r="E127" s="21" t="s">
        <v>37</v>
      </c>
      <c r="F127" s="21" t="s">
        <v>397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31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312</v>
      </c>
      <c r="K128" s="37"/>
      <c r="L128" s="37"/>
    </row>
    <row r="129" spans="1:12" s="20" customFormat="1" x14ac:dyDescent="0.25">
      <c r="A129" s="31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312</v>
      </c>
      <c r="K129" s="37"/>
      <c r="L129" s="37"/>
    </row>
    <row r="130" spans="1:12" s="20" customFormat="1" x14ac:dyDescent="0.25">
      <c r="A130" s="31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312</v>
      </c>
      <c r="K130" s="37"/>
      <c r="L130" s="37"/>
    </row>
    <row r="131" spans="1:12" s="20" customFormat="1" x14ac:dyDescent="0.25">
      <c r="A131" s="31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312</v>
      </c>
      <c r="K131" s="37"/>
      <c r="L131" s="37"/>
    </row>
    <row r="132" spans="1:12" s="20" customFormat="1" x14ac:dyDescent="0.25">
      <c r="A132" s="31" t="s">
        <v>450</v>
      </c>
      <c r="B132" s="32" t="s">
        <v>452</v>
      </c>
      <c r="C132" s="32"/>
      <c r="D132" s="21" t="s">
        <v>308</v>
      </c>
      <c r="E132" s="21" t="s">
        <v>37</v>
      </c>
      <c r="F132" s="21" t="s">
        <v>453</v>
      </c>
      <c r="G132" s="22" t="s">
        <v>38</v>
      </c>
      <c r="H132" s="21" t="s">
        <v>455</v>
      </c>
      <c r="I132" s="21" t="s">
        <v>457</v>
      </c>
      <c r="K132" s="37"/>
      <c r="L132" s="37"/>
    </row>
    <row r="133" spans="1:12" s="20" customFormat="1" x14ac:dyDescent="0.25">
      <c r="A133" s="31" t="s">
        <v>450</v>
      </c>
      <c r="B133" s="32" t="s">
        <v>465</v>
      </c>
      <c r="C133" s="32"/>
      <c r="D133" s="21" t="s">
        <v>308</v>
      </c>
      <c r="E133" s="21" t="s">
        <v>37</v>
      </c>
      <c r="F133" s="21" t="s">
        <v>453</v>
      </c>
      <c r="G133" s="24" t="s">
        <v>40</v>
      </c>
      <c r="H133" s="21" t="s">
        <v>455</v>
      </c>
      <c r="I133" s="21" t="s">
        <v>466</v>
      </c>
      <c r="K133" s="37"/>
      <c r="L133" s="37"/>
    </row>
    <row r="134" spans="1:12" s="20" customFormat="1" x14ac:dyDescent="0.25">
      <c r="A134" s="31" t="s">
        <v>450</v>
      </c>
      <c r="B134" s="32" t="s">
        <v>467</v>
      </c>
      <c r="C134" s="32"/>
      <c r="D134" s="21" t="s">
        <v>308</v>
      </c>
      <c r="E134" s="21" t="s">
        <v>37</v>
      </c>
      <c r="F134" s="21" t="s">
        <v>457</v>
      </c>
      <c r="G134" s="22" t="s">
        <v>38</v>
      </c>
      <c r="H134" s="21" t="s">
        <v>455</v>
      </c>
      <c r="I134" s="21" t="s">
        <v>453</v>
      </c>
      <c r="K134" s="37"/>
      <c r="L134" s="37"/>
    </row>
    <row r="135" spans="1:12" s="20" customFormat="1" x14ac:dyDescent="0.25">
      <c r="A135" s="31" t="s">
        <v>450</v>
      </c>
      <c r="B135" s="32" t="s">
        <v>463</v>
      </c>
      <c r="C135" s="32"/>
      <c r="D135" s="21" t="s">
        <v>308</v>
      </c>
      <c r="E135" s="21" t="s">
        <v>37</v>
      </c>
      <c r="F135" s="21" t="s">
        <v>457</v>
      </c>
      <c r="G135" s="24" t="s">
        <v>40</v>
      </c>
      <c r="H135" s="21" t="s">
        <v>455</v>
      </c>
      <c r="I135" s="21" t="s">
        <v>457</v>
      </c>
      <c r="K135" s="37"/>
      <c r="L135" s="37"/>
    </row>
    <row r="136" spans="1:12" s="20" customFormat="1" x14ac:dyDescent="0.25">
      <c r="A136" s="31" t="s">
        <v>450</v>
      </c>
      <c r="B136" s="32" t="s">
        <v>504</v>
      </c>
      <c r="C136" s="32"/>
      <c r="D136" s="21" t="s">
        <v>308</v>
      </c>
      <c r="E136" s="21" t="s">
        <v>37</v>
      </c>
      <c r="F136" s="21" t="s">
        <v>505</v>
      </c>
      <c r="G136" s="22" t="s">
        <v>38</v>
      </c>
      <c r="H136" s="21" t="s">
        <v>33</v>
      </c>
      <c r="I136" s="21" t="s">
        <v>283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60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51:I52 I64 I39:I41 I128:I131 I117:I121 I3:I36" name="範圍1_3_3_1_1_1_2_1_1_2"/>
    <protectedRange password="EBC5" sqref="I65 I113:I114 I96:I98 I47:I50 I122:I127 I137:I140 I55:I63" name="範圍1_3_3_1_1_1_2_1_1_2_2"/>
    <protectedRange password="EBC5" sqref="I101:I112 I68:I95" name="範圍1_3_3_1_1_1_2_1_1_2_1_2"/>
    <protectedRange password="EBC5" sqref="I42" name="範圍1_3_3_1_1_1_2_1_1_2_2_1"/>
    <protectedRange password="EBC5" sqref="I43:I46" name="範圍1_3_3_1_1_1_2_1_1_2_1_2_1"/>
    <protectedRange password="EBC5" sqref="I132:I135" name="範圍1_3_3_1_1_1_2_1_1_2_1"/>
    <protectedRange password="EBC5" sqref="I136" name="範圍1_3_3_1_1_1_2_1_1_2_3"/>
  </protectedRanges>
  <mergeCells count="11">
    <mergeCell ref="L75:P75"/>
    <mergeCell ref="A99:C99"/>
    <mergeCell ref="A53:C53"/>
    <mergeCell ref="D141:G141"/>
    <mergeCell ref="A1:C1"/>
    <mergeCell ref="A37:C37"/>
    <mergeCell ref="A66:C66"/>
    <mergeCell ref="L68:P68"/>
    <mergeCell ref="L71:P71"/>
    <mergeCell ref="L74:P74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FF00"/>
  </sheetPr>
  <dimension ref="A1:U142"/>
  <sheetViews>
    <sheetView topLeftCell="A67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8.2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299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270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270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276</v>
      </c>
      <c r="G32" s="22" t="s">
        <v>38</v>
      </c>
      <c r="H32" s="21" t="s">
        <v>33</v>
      </c>
      <c r="I32" s="21" t="s">
        <v>41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275</v>
      </c>
      <c r="G33" s="24" t="s">
        <v>40</v>
      </c>
      <c r="H33" s="21" t="s">
        <v>33</v>
      </c>
      <c r="I33" s="21" t="s">
        <v>195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278</v>
      </c>
      <c r="G34" s="22" t="s">
        <v>38</v>
      </c>
      <c r="H34" s="21" t="s">
        <v>33</v>
      </c>
      <c r="I34" s="21" t="s">
        <v>145</v>
      </c>
      <c r="K34" s="37"/>
      <c r="L34" s="37" t="s">
        <v>383</v>
      </c>
      <c r="M34" s="20" t="str">
        <f>IF(I34="0x13","0.5",IF(I34="0x12","1","2"))</f>
        <v>1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407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0xA2</v>
      </c>
      <c r="J39" s="20" t="str">
        <f>DEC2HEX(MOD(N39,256))</f>
        <v>A2</v>
      </c>
      <c r="K39" s="37" t="str">
        <f>DEC2HEX(N39)</f>
        <v>2E8BA2</v>
      </c>
      <c r="L39" s="78" t="s">
        <v>377</v>
      </c>
      <c r="M39" s="75">
        <f>432*524288/(P70*P73*L75/1000000)</f>
        <v>3050402.9090909092</v>
      </c>
      <c r="N39" s="75">
        <f>(M39*M34)</f>
        <v>3050402.9090909092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0x8B</v>
      </c>
      <c r="J40" s="20" t="str">
        <f>DEC2HEX(MOD((N39-MOD(N39,256))/256,256))</f>
        <v>8B</v>
      </c>
      <c r="K40" s="37"/>
      <c r="L40" s="78" t="s">
        <v>378</v>
      </c>
      <c r="M40" s="75">
        <f>16*524288/(P70*P73)</f>
        <v>5.6488942760942757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0x2E</v>
      </c>
      <c r="J41" s="20" t="str">
        <f>DEC2HEX((N39-MOD(N39,256))/65536)</f>
        <v>2E</v>
      </c>
      <c r="K41" s="37"/>
      <c r="L41" s="78" t="s">
        <v>381</v>
      </c>
      <c r="M41" s="75">
        <f>IF(M40&gt;16,M40*128, M40*256)</f>
        <v>1446.1169346801346</v>
      </c>
      <c r="N41" s="75"/>
    </row>
    <row r="42" spans="1:14" s="20" customFormat="1" x14ac:dyDescent="0.25">
      <c r="A42" s="68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285</v>
      </c>
      <c r="G42" s="22" t="s">
        <v>38</v>
      </c>
      <c r="H42" s="21" t="s">
        <v>33</v>
      </c>
      <c r="I42" s="21" t="s">
        <v>437</v>
      </c>
      <c r="K42" s="37" t="str">
        <f>DEC2HEX(M41)</f>
        <v>5A6</v>
      </c>
      <c r="L42" s="37"/>
    </row>
    <row r="43" spans="1:14" s="20" customFormat="1" x14ac:dyDescent="0.25">
      <c r="A43" s="68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285</v>
      </c>
      <c r="G43" s="24" t="s">
        <v>40</v>
      </c>
      <c r="H43" s="21" t="s">
        <v>33</v>
      </c>
      <c r="I43" s="21" t="s">
        <v>245</v>
      </c>
      <c r="K43" s="37"/>
      <c r="L43" s="37"/>
    </row>
    <row r="44" spans="1:14" s="20" customFormat="1" x14ac:dyDescent="0.25">
      <c r="A44" s="68" t="s">
        <v>429</v>
      </c>
      <c r="B44" s="50" t="s">
        <v>434</v>
      </c>
      <c r="C44" s="32"/>
      <c r="D44" s="21" t="s">
        <v>305</v>
      </c>
      <c r="E44" s="21" t="s">
        <v>37</v>
      </c>
      <c r="F44" s="21" t="s">
        <v>431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421</v>
      </c>
      <c r="B45" s="50" t="s">
        <v>422</v>
      </c>
      <c r="C45" s="32"/>
      <c r="D45" s="21" t="s">
        <v>302</v>
      </c>
      <c r="E45" s="21" t="s">
        <v>37</v>
      </c>
      <c r="F45" s="21" t="s">
        <v>414</v>
      </c>
      <c r="G45" s="22" t="s">
        <v>38</v>
      </c>
      <c r="H45" s="21" t="s">
        <v>416</v>
      </c>
      <c r="I45" s="21" t="s">
        <v>428</v>
      </c>
      <c r="K45" s="37"/>
      <c r="L45" s="37"/>
    </row>
    <row r="46" spans="1:14" s="20" customFormat="1" x14ac:dyDescent="0.25">
      <c r="A46" s="68" t="s">
        <v>421</v>
      </c>
      <c r="B46" s="50" t="s">
        <v>419</v>
      </c>
      <c r="C46" s="32"/>
      <c r="D46" s="21" t="s">
        <v>302</v>
      </c>
      <c r="E46" s="21" t="s">
        <v>37</v>
      </c>
      <c r="F46" s="21" t="s">
        <v>414</v>
      </c>
      <c r="G46" s="24" t="s">
        <v>40</v>
      </c>
      <c r="H46" s="21" t="s">
        <v>417</v>
      </c>
      <c r="I46" s="21" t="s">
        <v>425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53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163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282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53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41</v>
      </c>
      <c r="K59" s="37"/>
      <c r="L59" s="37"/>
    </row>
    <row r="60" spans="1:12" s="20" customFormat="1" x14ac:dyDescent="0.25">
      <c r="A60" s="31" t="s">
        <v>178</v>
      </c>
      <c r="B60" s="50" t="s">
        <v>354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346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524</v>
      </c>
      <c r="C62" s="32"/>
      <c r="D62" s="21" t="s">
        <v>306</v>
      </c>
      <c r="E62" s="21" t="s">
        <v>37</v>
      </c>
      <c r="F62" s="21" t="s">
        <v>529</v>
      </c>
      <c r="G62" s="22" t="s">
        <v>38</v>
      </c>
      <c r="H62" s="21" t="s">
        <v>131</v>
      </c>
      <c r="I62" s="21" t="str">
        <f>IF(L77="NEG","0x01","0x00")</f>
        <v>0x00</v>
      </c>
      <c r="K62" s="37"/>
      <c r="L62" s="37"/>
    </row>
    <row r="63" spans="1:12" s="20" customFormat="1" x14ac:dyDescent="0.25">
      <c r="A63" s="68"/>
      <c r="B63" s="50" t="s">
        <v>525</v>
      </c>
      <c r="C63" s="32"/>
      <c r="D63" s="21" t="s">
        <v>306</v>
      </c>
      <c r="E63" s="21" t="s">
        <v>37</v>
      </c>
      <c r="F63" s="21" t="s">
        <v>528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0xBB</v>
      </c>
      <c r="J68" s="20" t="str">
        <f>DEC2HEX(MOD(K68,256))</f>
        <v>BB</v>
      </c>
      <c r="K68" s="37">
        <f>P70-1</f>
        <v>1979</v>
      </c>
      <c r="L68" s="85" t="s">
        <v>40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0x07</v>
      </c>
      <c r="J69" s="20" t="str">
        <f>DEC2HEX((K68-MOD(K68,256))/256)</f>
        <v>7</v>
      </c>
      <c r="K69" s="37"/>
      <c r="L69" s="71" t="s">
        <v>313</v>
      </c>
      <c r="M69" s="71" t="s">
        <v>314</v>
      </c>
      <c r="N69" s="71" t="s">
        <v>315</v>
      </c>
      <c r="O69" s="71" t="s">
        <v>316</v>
      </c>
      <c r="P69" s="71" t="s">
        <v>317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0xED</v>
      </c>
      <c r="J70" s="20" t="str">
        <f>DEC2HEX(MOD(K70,256))</f>
        <v>ED</v>
      </c>
      <c r="K70" s="37">
        <f>P73-1</f>
        <v>749</v>
      </c>
      <c r="L70" s="72">
        <v>40</v>
      </c>
      <c r="M70" s="72">
        <v>220</v>
      </c>
      <c r="N70" s="72">
        <v>1280</v>
      </c>
      <c r="O70" s="72">
        <f>P70-N70-M70-L70</f>
        <v>440</v>
      </c>
      <c r="P70" s="72">
        <v>1980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0x02</v>
      </c>
      <c r="J71" s="20" t="str">
        <f>DEC2HEX((K70-MOD(K70,256))/256)</f>
        <v>2</v>
      </c>
      <c r="K71" s="37"/>
      <c r="L71" s="85" t="s">
        <v>318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313</v>
      </c>
      <c r="M72" s="71" t="s">
        <v>314</v>
      </c>
      <c r="N72" s="71" t="s">
        <v>315</v>
      </c>
      <c r="O72" s="71" t="s">
        <v>316</v>
      </c>
      <c r="P72" s="71" t="s">
        <v>317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5</v>
      </c>
      <c r="M73" s="72">
        <v>20</v>
      </c>
      <c r="N73" s="72">
        <v>720</v>
      </c>
      <c r="O73" s="72">
        <f>P73-N73-M73-L73</f>
        <v>5</v>
      </c>
      <c r="P73" s="72">
        <v>750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0x27</v>
      </c>
      <c r="J74" s="20" t="str">
        <f>DEC2HEX(MOD(K74,256))</f>
        <v>27</v>
      </c>
      <c r="K74" s="37">
        <f>L70-1</f>
        <v>39</v>
      </c>
      <c r="L74" s="85" t="s">
        <v>319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50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534</v>
      </c>
      <c r="M76" s="80" t="s">
        <v>536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540</v>
      </c>
      <c r="M77" s="72" t="s">
        <v>541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0x04</v>
      </c>
      <c r="J78" s="20" t="str">
        <f>DEC2HEX(MOD(K78,256))</f>
        <v>4</v>
      </c>
      <c r="K78" s="37">
        <f>L73-1</f>
        <v>4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0x04</v>
      </c>
      <c r="J80" s="20" t="str">
        <f>DEC2HEX(MOD(K80,256))</f>
        <v>4</v>
      </c>
      <c r="K80" s="37">
        <f>L70+M70</f>
        <v>260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0x01</v>
      </c>
      <c r="J81" s="20" t="str">
        <f>DEC2HEX((K80-MOD(K80,256))/256)</f>
        <v>1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0x03</v>
      </c>
      <c r="J82" s="20" t="str">
        <f>DEC2HEX(MOD(K82,256))</f>
        <v>3</v>
      </c>
      <c r="K82" s="37">
        <f>L70+M70+N70-1</f>
        <v>1539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0x06</v>
      </c>
      <c r="J83" s="20" t="str">
        <f>DEC2HEX((K82-MOD(K82,256))/256)</f>
        <v>6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0x19</v>
      </c>
      <c r="J84" s="20" t="str">
        <f>DEC2HEX(MOD(K84,256))</f>
        <v>19</v>
      </c>
      <c r="K84" s="37">
        <f>L73+M73</f>
        <v>25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284</v>
      </c>
      <c r="G86" s="22" t="s">
        <v>38</v>
      </c>
      <c r="H86" s="21" t="s">
        <v>33</v>
      </c>
      <c r="I86" s="21" t="str">
        <f t="shared" si="0"/>
        <v>0xE8</v>
      </c>
      <c r="J86" s="20" t="str">
        <f>DEC2HEX(MOD(K86,256))</f>
        <v>E8</v>
      </c>
      <c r="K86" s="37">
        <f>L73+M73+N73-1</f>
        <v>744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284</v>
      </c>
      <c r="G87" s="24" t="s">
        <v>40</v>
      </c>
      <c r="H87" s="21" t="s">
        <v>33</v>
      </c>
      <c r="I87" s="21" t="str">
        <f t="shared" si="0"/>
        <v>0x02</v>
      </c>
      <c r="J87" s="20" t="str">
        <f>DEC2HEX((K86-MOD(K86,256))/256)</f>
        <v>2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274</v>
      </c>
      <c r="G88" s="22" t="s">
        <v>38</v>
      </c>
      <c r="H88" s="21" t="s">
        <v>33</v>
      </c>
      <c r="I88" s="21" t="str">
        <f t="shared" si="0"/>
        <v>0x04</v>
      </c>
      <c r="J88" s="20" t="str">
        <f>DEC2HEX(MOD(K88,256))</f>
        <v>4</v>
      </c>
      <c r="K88" s="37">
        <f>L70+M70</f>
        <v>260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274</v>
      </c>
      <c r="G89" s="24" t="s">
        <v>40</v>
      </c>
      <c r="H89" s="21" t="s">
        <v>33</v>
      </c>
      <c r="I89" s="21" t="str">
        <f t="shared" si="0"/>
        <v>0x01</v>
      </c>
      <c r="J89" s="20" t="str">
        <f>DEC2HEX((K88-MOD(K88,256))/256)</f>
        <v>1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278</v>
      </c>
      <c r="G90" s="22" t="s">
        <v>38</v>
      </c>
      <c r="H90" s="21" t="s">
        <v>33</v>
      </c>
      <c r="I90" s="21" t="str">
        <f t="shared" si="0"/>
        <v>0x03</v>
      </c>
      <c r="J90" s="20" t="str">
        <f>DEC2HEX(MOD(K90,256))</f>
        <v>3</v>
      </c>
      <c r="K90" s="37">
        <f>L70+M70+N70-1</f>
        <v>1539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278</v>
      </c>
      <c r="G91" s="24" t="s">
        <v>40</v>
      </c>
      <c r="H91" s="21" t="s">
        <v>33</v>
      </c>
      <c r="I91" s="21" t="str">
        <f t="shared" si="0"/>
        <v>0x06</v>
      </c>
      <c r="J91" s="20" t="str">
        <f>DEC2HEX((K90-MOD(K90,256))/256)</f>
        <v>6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290</v>
      </c>
      <c r="G92" s="22" t="s">
        <v>38</v>
      </c>
      <c r="H92" s="21" t="s">
        <v>33</v>
      </c>
      <c r="I92" s="21" t="str">
        <f t="shared" si="0"/>
        <v>0x19</v>
      </c>
      <c r="J92" s="20" t="str">
        <f>DEC2HEX(MOD(K92,256))</f>
        <v>19</v>
      </c>
      <c r="K92" s="37">
        <f>L73+M73</f>
        <v>25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289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281</v>
      </c>
      <c r="G94" s="22" t="s">
        <v>38</v>
      </c>
      <c r="H94" s="21" t="s">
        <v>33</v>
      </c>
      <c r="I94" s="21" t="str">
        <f t="shared" si="0"/>
        <v>0xE8</v>
      </c>
      <c r="J94" s="20" t="str">
        <f>DEC2HEX(MOD(K94,256))</f>
        <v>E8</v>
      </c>
      <c r="K94" s="37">
        <f>L73+M73+N73-1</f>
        <v>744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281</v>
      </c>
      <c r="G95" s="24" t="s">
        <v>40</v>
      </c>
      <c r="H95" s="21" t="s">
        <v>33</v>
      </c>
      <c r="I95" s="21" t="str">
        <f t="shared" si="0"/>
        <v>0x02</v>
      </c>
      <c r="J95" s="20" t="str">
        <f>DEC2HEX((K94-MOD(K94,256))/256)</f>
        <v>2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363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0x27</v>
      </c>
      <c r="J103" s="20" t="str">
        <f>DEC2HEX(MOD(K103,256))</f>
        <v>27</v>
      </c>
      <c r="K103" s="37">
        <f>L70-1</f>
        <v>39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0x04</v>
      </c>
      <c r="J105" s="20" t="str">
        <f>DEC2HEX(MOD(K105,256))</f>
        <v>4</v>
      </c>
      <c r="K105" s="37">
        <f>L70+M70</f>
        <v>260</v>
      </c>
      <c r="L105" s="37"/>
    </row>
    <row r="106" spans="1:12" s="20" customFormat="1" x14ac:dyDescent="0.25">
      <c r="A106" s="68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0x01</v>
      </c>
      <c r="J106" s="20" t="str">
        <f>DEC2HEX((K105-MOD(K105,256))/256)</f>
        <v>1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0x03</v>
      </c>
      <c r="J107" s="20" t="str">
        <f>DEC2HEX(MOD(K107,256))</f>
        <v>3</v>
      </c>
      <c r="K107" s="37">
        <f>L70+M70+N70-1</f>
        <v>1539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0x06</v>
      </c>
      <c r="J108" s="20" t="str">
        <f>DEC2HEX((K107-MOD(K107,256))/256)</f>
        <v>6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0x19</v>
      </c>
      <c r="J109" s="20" t="str">
        <f>DEC2HEX(MOD(K109,256))</f>
        <v>19</v>
      </c>
      <c r="K109" s="37">
        <f>L73+M73</f>
        <v>25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294</v>
      </c>
      <c r="G111" s="22" t="s">
        <v>38</v>
      </c>
      <c r="H111" s="21" t="s">
        <v>33</v>
      </c>
      <c r="I111" s="21" t="str">
        <f t="shared" si="1"/>
        <v>0xE8</v>
      </c>
      <c r="J111" s="20" t="str">
        <f>DEC2HEX(MOD(K111,256))</f>
        <v>E8</v>
      </c>
      <c r="K111" s="37">
        <f>L73+M73+N73-1</f>
        <v>744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295</v>
      </c>
      <c r="G112" s="24" t="s">
        <v>40</v>
      </c>
      <c r="H112" s="21" t="s">
        <v>33</v>
      </c>
      <c r="I112" s="21" t="str">
        <f t="shared" si="1"/>
        <v>0x02</v>
      </c>
      <c r="J112" s="20" t="str">
        <f>DEC2HEX((K111-MOD(K111,256))/256)</f>
        <v>2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517</v>
      </c>
      <c r="C119" s="32" t="s">
        <v>519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410</v>
      </c>
      <c r="B122" s="50" t="s">
        <v>360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350</v>
      </c>
      <c r="I122" s="21" t="s">
        <v>41</v>
      </c>
      <c r="K122" s="37"/>
      <c r="L122" s="37"/>
    </row>
    <row r="123" spans="1:12" s="20" customFormat="1" x14ac:dyDescent="0.25">
      <c r="A123" s="68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385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386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310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386</v>
      </c>
      <c r="C125" s="32" t="s">
        <v>223</v>
      </c>
      <c r="D125" s="21" t="s">
        <v>305</v>
      </c>
      <c r="E125" s="21" t="s">
        <v>37</v>
      </c>
      <c r="F125" s="21" t="s">
        <v>53</v>
      </c>
      <c r="G125" s="24" t="s">
        <v>310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393</v>
      </c>
      <c r="C126" s="32" t="s">
        <v>223</v>
      </c>
      <c r="D126" s="21" t="s">
        <v>305</v>
      </c>
      <c r="E126" s="21" t="s">
        <v>37</v>
      </c>
      <c r="F126" s="21" t="s">
        <v>396</v>
      </c>
      <c r="G126" s="22" t="s">
        <v>38</v>
      </c>
      <c r="H126" s="21" t="s">
        <v>399</v>
      </c>
      <c r="I126" s="21" t="s">
        <v>402</v>
      </c>
      <c r="K126" s="37"/>
      <c r="L126" s="37"/>
    </row>
    <row r="127" spans="1:12" s="20" customFormat="1" x14ac:dyDescent="0.25">
      <c r="A127" s="31" t="s">
        <v>184</v>
      </c>
      <c r="B127" s="50" t="s">
        <v>393</v>
      </c>
      <c r="C127" s="32" t="s">
        <v>223</v>
      </c>
      <c r="D127" s="21" t="s">
        <v>305</v>
      </c>
      <c r="E127" s="21" t="s">
        <v>37</v>
      </c>
      <c r="F127" s="21" t="s">
        <v>396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39</v>
      </c>
      <c r="K128" s="37"/>
      <c r="L128" s="37"/>
    </row>
    <row r="129" spans="1:12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39</v>
      </c>
      <c r="K129" s="37"/>
      <c r="L129" s="37"/>
    </row>
    <row r="130" spans="1:12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39</v>
      </c>
      <c r="K130" s="37"/>
      <c r="L130" s="37"/>
    </row>
    <row r="131" spans="1:12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39</v>
      </c>
      <c r="K131" s="37"/>
      <c r="L131" s="37"/>
    </row>
    <row r="132" spans="1:12" s="20" customFormat="1" x14ac:dyDescent="0.25">
      <c r="A132" s="31" t="s">
        <v>450</v>
      </c>
      <c r="B132" s="32" t="s">
        <v>452</v>
      </c>
      <c r="C132" s="32"/>
      <c r="D132" s="21" t="s">
        <v>308</v>
      </c>
      <c r="E132" s="21" t="s">
        <v>37</v>
      </c>
      <c r="F132" s="21" t="s">
        <v>453</v>
      </c>
      <c r="G132" s="22" t="s">
        <v>38</v>
      </c>
      <c r="H132" s="21" t="s">
        <v>455</v>
      </c>
      <c r="I132" s="21" t="s">
        <v>457</v>
      </c>
      <c r="K132" s="37"/>
      <c r="L132" s="37"/>
    </row>
    <row r="133" spans="1:12" s="20" customFormat="1" x14ac:dyDescent="0.25">
      <c r="A133" s="31" t="s">
        <v>450</v>
      </c>
      <c r="B133" s="32" t="s">
        <v>465</v>
      </c>
      <c r="C133" s="32"/>
      <c r="D133" s="21" t="s">
        <v>308</v>
      </c>
      <c r="E133" s="21" t="s">
        <v>37</v>
      </c>
      <c r="F133" s="21" t="s">
        <v>453</v>
      </c>
      <c r="G133" s="24" t="s">
        <v>40</v>
      </c>
      <c r="H133" s="21" t="s">
        <v>455</v>
      </c>
      <c r="I133" s="21" t="s">
        <v>466</v>
      </c>
      <c r="K133" s="37"/>
      <c r="L133" s="37"/>
    </row>
    <row r="134" spans="1:12" s="20" customFormat="1" x14ac:dyDescent="0.25">
      <c r="A134" s="31" t="s">
        <v>450</v>
      </c>
      <c r="B134" s="32" t="s">
        <v>467</v>
      </c>
      <c r="C134" s="32"/>
      <c r="D134" s="21" t="s">
        <v>308</v>
      </c>
      <c r="E134" s="21" t="s">
        <v>37</v>
      </c>
      <c r="F134" s="21" t="s">
        <v>457</v>
      </c>
      <c r="G134" s="22" t="s">
        <v>38</v>
      </c>
      <c r="H134" s="21" t="s">
        <v>455</v>
      </c>
      <c r="I134" s="21" t="s">
        <v>453</v>
      </c>
      <c r="K134" s="37"/>
      <c r="L134" s="37"/>
    </row>
    <row r="135" spans="1:12" s="20" customFormat="1" x14ac:dyDescent="0.25">
      <c r="A135" s="31" t="s">
        <v>450</v>
      </c>
      <c r="B135" s="32" t="s">
        <v>463</v>
      </c>
      <c r="C135" s="32"/>
      <c r="D135" s="21" t="s">
        <v>308</v>
      </c>
      <c r="E135" s="21" t="s">
        <v>37</v>
      </c>
      <c r="F135" s="21" t="s">
        <v>457</v>
      </c>
      <c r="G135" s="24" t="s">
        <v>40</v>
      </c>
      <c r="H135" s="21" t="s">
        <v>455</v>
      </c>
      <c r="I135" s="21" t="s">
        <v>457</v>
      </c>
      <c r="K135" s="37"/>
      <c r="L135" s="37"/>
    </row>
    <row r="136" spans="1:12" s="20" customFormat="1" x14ac:dyDescent="0.25">
      <c r="A136" s="31" t="s">
        <v>450</v>
      </c>
      <c r="B136" s="32" t="s">
        <v>504</v>
      </c>
      <c r="C136" s="32"/>
      <c r="D136" s="21" t="s">
        <v>308</v>
      </c>
      <c r="E136" s="21" t="s">
        <v>37</v>
      </c>
      <c r="F136" s="21" t="s">
        <v>505</v>
      </c>
      <c r="G136" s="22" t="s">
        <v>38</v>
      </c>
      <c r="H136" s="21" t="s">
        <v>33</v>
      </c>
      <c r="I136" s="21" t="s">
        <v>283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74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"/>
    <protectedRange password="EBC5" sqref="I39:I41" name="範圍1_3_3_1_1_1_2_1_1_2_1_1"/>
    <protectedRange password="EBC5" sqref="I101:I112 I68:I95" name="範圍1_3_3_1_1_1_2_1_1_2_1_1_2"/>
    <protectedRange password="EBC5" sqref="I132:I135" name="範圍1_3_3_1_1_1_2_1_1_2_3"/>
    <protectedRange password="EBC5" sqref="I136" name="範圍1_3_3_1_1_1_2_1_1_2_4"/>
  </protectedRanges>
  <mergeCells count="11">
    <mergeCell ref="L68:P68"/>
    <mergeCell ref="L71:P71"/>
    <mergeCell ref="L74:P74"/>
    <mergeCell ref="L75:P75"/>
    <mergeCell ref="A99:C99"/>
    <mergeCell ref="A1:C1"/>
    <mergeCell ref="A53:C53"/>
    <mergeCell ref="A66:C66"/>
    <mergeCell ref="D141:G141"/>
    <mergeCell ref="A37:C37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U142"/>
  <sheetViews>
    <sheetView topLeftCell="A58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8.2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300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86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100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268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268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31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275</v>
      </c>
      <c r="G32" s="22" t="s">
        <v>38</v>
      </c>
      <c r="H32" s="21" t="s">
        <v>33</v>
      </c>
      <c r="I32" s="21" t="s">
        <v>41</v>
      </c>
      <c r="K32" s="37"/>
      <c r="L32" s="37"/>
    </row>
    <row r="33" spans="1:14" s="20" customFormat="1" x14ac:dyDescent="0.25">
      <c r="A33" s="31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275</v>
      </c>
      <c r="G33" s="24" t="s">
        <v>40</v>
      </c>
      <c r="H33" s="21" t="s">
        <v>33</v>
      </c>
      <c r="I33" s="21" t="s">
        <v>125</v>
      </c>
      <c r="K33" s="37"/>
      <c r="L33" s="37"/>
    </row>
    <row r="34" spans="1:14" s="20" customFormat="1" ht="38.25" x14ac:dyDescent="0.25">
      <c r="A34" s="31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277</v>
      </c>
      <c r="G34" s="22" t="s">
        <v>38</v>
      </c>
      <c r="H34" s="21" t="s">
        <v>33</v>
      </c>
      <c r="I34" s="21" t="s">
        <v>185</v>
      </c>
      <c r="K34" s="37"/>
      <c r="L34" s="37" t="s">
        <v>383</v>
      </c>
      <c r="M34" s="20" t="str">
        <f>IF(I34="0x13","0.5",IF(I34="0x12","1","2"))</f>
        <v>1</v>
      </c>
    </row>
    <row r="35" spans="1:14" s="20" customFormat="1" x14ac:dyDescent="0.25">
      <c r="A35" s="60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60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406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31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0xA2</v>
      </c>
      <c r="J39" s="20" t="str">
        <f>DEC2HEX(MOD(N39,256))</f>
        <v>A2</v>
      </c>
      <c r="K39" s="37" t="str">
        <f>DEC2HEX(N39)</f>
        <v>2E8BA2</v>
      </c>
      <c r="L39" s="78" t="s">
        <v>377</v>
      </c>
      <c r="M39" s="75">
        <f>432*524288/(P70*P73*L75/1000000)</f>
        <v>3050402.9090909092</v>
      </c>
      <c r="N39" s="75">
        <f>(M39*M34)</f>
        <v>3050402.9090909092</v>
      </c>
    </row>
    <row r="40" spans="1:14" s="20" customFormat="1" x14ac:dyDescent="0.25">
      <c r="A40" s="31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0x8B</v>
      </c>
      <c r="J40" s="20" t="str">
        <f>DEC2HEX(MOD((N39-MOD(N39,256))/256,256))</f>
        <v>8B</v>
      </c>
      <c r="K40" s="37"/>
      <c r="L40" s="78" t="s">
        <v>378</v>
      </c>
      <c r="M40" s="75">
        <f>16*524288/(P70*P73)</f>
        <v>6.7786731313131314</v>
      </c>
      <c r="N40" s="75"/>
    </row>
    <row r="41" spans="1:14" s="20" customFormat="1" x14ac:dyDescent="0.25">
      <c r="A41" s="31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0x2E</v>
      </c>
      <c r="J41" s="20" t="str">
        <f>DEC2HEX((N39-MOD(N39,256))/65536)</f>
        <v>2E</v>
      </c>
      <c r="K41" s="37"/>
      <c r="L41" s="78" t="s">
        <v>381</v>
      </c>
      <c r="M41" s="75">
        <f>IF(M40&gt;16,M40*128, M40*256)</f>
        <v>1735.3403216161616</v>
      </c>
      <c r="N41" s="75"/>
    </row>
    <row r="42" spans="1:14" s="20" customFormat="1" x14ac:dyDescent="0.25">
      <c r="A42" s="31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284</v>
      </c>
      <c r="G42" s="22" t="s">
        <v>38</v>
      </c>
      <c r="H42" s="21" t="s">
        <v>33</v>
      </c>
      <c r="I42" s="21" t="s">
        <v>446</v>
      </c>
      <c r="K42" s="37" t="str">
        <f>DEC2HEX(M41)</f>
        <v>6C7</v>
      </c>
      <c r="L42" s="37"/>
    </row>
    <row r="43" spans="1:14" s="20" customFormat="1" x14ac:dyDescent="0.25">
      <c r="A43" s="31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284</v>
      </c>
      <c r="G43" s="24" t="s">
        <v>40</v>
      </c>
      <c r="H43" s="21" t="s">
        <v>33</v>
      </c>
      <c r="I43" s="21" t="s">
        <v>448</v>
      </c>
      <c r="K43" s="37"/>
      <c r="L43" s="37"/>
    </row>
    <row r="44" spans="1:14" s="20" customFormat="1" x14ac:dyDescent="0.25">
      <c r="A44" s="31" t="s">
        <v>429</v>
      </c>
      <c r="B44" s="50" t="s">
        <v>434</v>
      </c>
      <c r="C44" s="32"/>
      <c r="D44" s="21" t="s">
        <v>305</v>
      </c>
      <c r="E44" s="21" t="s">
        <v>37</v>
      </c>
      <c r="F44" s="21" t="s">
        <v>432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31" t="s">
        <v>420</v>
      </c>
      <c r="B45" s="50" t="s">
        <v>423</v>
      </c>
      <c r="C45" s="32"/>
      <c r="D45" s="21" t="s">
        <v>302</v>
      </c>
      <c r="E45" s="21" t="s">
        <v>37</v>
      </c>
      <c r="F45" s="21" t="s">
        <v>414</v>
      </c>
      <c r="G45" s="22" t="s">
        <v>38</v>
      </c>
      <c r="H45" s="21" t="s">
        <v>418</v>
      </c>
      <c r="I45" s="21" t="s">
        <v>428</v>
      </c>
      <c r="K45" s="37"/>
      <c r="L45" s="37"/>
    </row>
    <row r="46" spans="1:14" s="20" customFormat="1" x14ac:dyDescent="0.25">
      <c r="A46" s="31" t="s">
        <v>420</v>
      </c>
      <c r="B46" s="50" t="s">
        <v>449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416</v>
      </c>
      <c r="I46" s="21" t="s">
        <v>427</v>
      </c>
      <c r="K46" s="37"/>
      <c r="L46" s="37"/>
    </row>
    <row r="47" spans="1:14" s="20" customFormat="1" x14ac:dyDescent="0.25">
      <c r="A47" s="31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100</v>
      </c>
      <c r="G47" s="22" t="s">
        <v>38</v>
      </c>
      <c r="H47" s="21" t="s">
        <v>33</v>
      </c>
      <c r="I47" s="21" t="s">
        <v>171</v>
      </c>
      <c r="K47" s="37"/>
      <c r="L47" s="37"/>
    </row>
    <row r="48" spans="1:14" s="20" customFormat="1" x14ac:dyDescent="0.25">
      <c r="A48" s="31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31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31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226</v>
      </c>
      <c r="K50" s="37"/>
      <c r="L50" s="37"/>
    </row>
    <row r="51" spans="1:12" s="20" customFormat="1" x14ac:dyDescent="0.25">
      <c r="A51" s="60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60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281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171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41</v>
      </c>
      <c r="K59" s="37"/>
      <c r="L59" s="37"/>
    </row>
    <row r="60" spans="1:12" s="20" customFormat="1" x14ac:dyDescent="0.25">
      <c r="A60" s="31" t="s">
        <v>178</v>
      </c>
      <c r="B60" s="50" t="s">
        <v>353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31"/>
      <c r="B61" s="50" t="s">
        <v>346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524</v>
      </c>
      <c r="C62" s="32"/>
      <c r="D62" s="21" t="s">
        <v>306</v>
      </c>
      <c r="E62" s="21" t="s">
        <v>37</v>
      </c>
      <c r="F62" s="21" t="s">
        <v>529</v>
      </c>
      <c r="G62" s="22" t="s">
        <v>38</v>
      </c>
      <c r="H62" s="21" t="s">
        <v>131</v>
      </c>
      <c r="I62" s="21" t="str">
        <f>IF(L77="NEG","0x01","0x00")</f>
        <v>0x00</v>
      </c>
      <c r="K62" s="37"/>
      <c r="L62" s="37"/>
    </row>
    <row r="63" spans="1:12" s="20" customFormat="1" x14ac:dyDescent="0.25">
      <c r="A63" s="31"/>
      <c r="B63" s="50" t="s">
        <v>526</v>
      </c>
      <c r="C63" s="32"/>
      <c r="D63" s="21" t="s">
        <v>306</v>
      </c>
      <c r="E63" s="21" t="s">
        <v>37</v>
      </c>
      <c r="F63" s="21" t="s">
        <v>528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60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31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0x71</v>
      </c>
      <c r="J68" s="20" t="str">
        <f>DEC2HEX(MOD(K68,256))</f>
        <v>71</v>
      </c>
      <c r="K68" s="37">
        <f>P70-1</f>
        <v>1649</v>
      </c>
      <c r="L68" s="85" t="s">
        <v>40</v>
      </c>
      <c r="M68" s="85"/>
      <c r="N68" s="85"/>
      <c r="O68" s="85"/>
      <c r="P68" s="85"/>
    </row>
    <row r="69" spans="1:16" s="20" customFormat="1" x14ac:dyDescent="0.25">
      <c r="A69" s="57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0x06</v>
      </c>
      <c r="J69" s="20" t="str">
        <f>DEC2HEX((K68-MOD(K68,256))/256)</f>
        <v>6</v>
      </c>
      <c r="K69" s="37"/>
      <c r="L69" s="71" t="s">
        <v>320</v>
      </c>
      <c r="M69" s="71" t="s">
        <v>314</v>
      </c>
      <c r="N69" s="71" t="s">
        <v>315</v>
      </c>
      <c r="O69" s="71" t="s">
        <v>316</v>
      </c>
      <c r="P69" s="71" t="s">
        <v>321</v>
      </c>
    </row>
    <row r="70" spans="1:16" s="20" customFormat="1" x14ac:dyDescent="0.25">
      <c r="A70" s="31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0xED</v>
      </c>
      <c r="J70" s="20" t="str">
        <f>DEC2HEX(MOD(K70,256))</f>
        <v>ED</v>
      </c>
      <c r="K70" s="37">
        <f>P73-1</f>
        <v>749</v>
      </c>
      <c r="L70" s="72">
        <v>40</v>
      </c>
      <c r="M70" s="72">
        <v>220</v>
      </c>
      <c r="N70" s="72">
        <v>1280</v>
      </c>
      <c r="O70" s="72">
        <f>P70-N70-M70-L70</f>
        <v>110</v>
      </c>
      <c r="P70" s="72">
        <v>1650</v>
      </c>
    </row>
    <row r="71" spans="1:16" s="20" customFormat="1" x14ac:dyDescent="0.25">
      <c r="A71" s="31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0x02</v>
      </c>
      <c r="J71" s="20" t="str">
        <f>DEC2HEX((K70-MOD(K70,256))/256)</f>
        <v>2</v>
      </c>
      <c r="K71" s="37"/>
      <c r="L71" s="85" t="s">
        <v>318</v>
      </c>
      <c r="M71" s="85"/>
      <c r="N71" s="85"/>
      <c r="O71" s="85"/>
      <c r="P71" s="85"/>
    </row>
    <row r="72" spans="1:16" s="20" customFormat="1" x14ac:dyDescent="0.25">
      <c r="A72" s="31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322</v>
      </c>
      <c r="M72" s="71" t="s">
        <v>323</v>
      </c>
      <c r="N72" s="71" t="s">
        <v>315</v>
      </c>
      <c r="O72" s="71" t="s">
        <v>316</v>
      </c>
      <c r="P72" s="71" t="s">
        <v>317</v>
      </c>
    </row>
    <row r="73" spans="1:16" s="20" customFormat="1" x14ac:dyDescent="0.25">
      <c r="A73" s="31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187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5</v>
      </c>
      <c r="M73" s="72">
        <v>20</v>
      </c>
      <c r="N73" s="72">
        <v>720</v>
      </c>
      <c r="O73" s="72">
        <f>P73-N73-M73-L73</f>
        <v>5</v>
      </c>
      <c r="P73" s="72">
        <v>750</v>
      </c>
    </row>
    <row r="74" spans="1:16" s="20" customFormat="1" x14ac:dyDescent="0.25">
      <c r="A74" s="31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0x27</v>
      </c>
      <c r="J74" s="20" t="str">
        <f>DEC2HEX(MOD(K74,256))</f>
        <v>27</v>
      </c>
      <c r="K74" s="37">
        <f>L70-1</f>
        <v>39</v>
      </c>
      <c r="L74" s="85" t="s">
        <v>319</v>
      </c>
      <c r="M74" s="85"/>
      <c r="N74" s="85"/>
      <c r="O74" s="85"/>
      <c r="P74" s="85"/>
    </row>
    <row r="75" spans="1:16" s="20" customFormat="1" x14ac:dyDescent="0.25">
      <c r="A75" s="31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146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60</v>
      </c>
      <c r="M75" s="84"/>
      <c r="N75" s="84"/>
      <c r="O75" s="84"/>
      <c r="P75" s="84"/>
    </row>
    <row r="76" spans="1:16" s="20" customFormat="1" x14ac:dyDescent="0.25">
      <c r="A76" s="31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189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535</v>
      </c>
      <c r="M76" s="80" t="s">
        <v>537</v>
      </c>
    </row>
    <row r="77" spans="1:16" s="20" customFormat="1" x14ac:dyDescent="0.25">
      <c r="A77" s="31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540</v>
      </c>
      <c r="M77" s="72" t="s">
        <v>540</v>
      </c>
    </row>
    <row r="78" spans="1:16" s="20" customFormat="1" x14ac:dyDescent="0.25">
      <c r="A78" s="31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190</v>
      </c>
      <c r="G78" s="22" t="s">
        <v>38</v>
      </c>
      <c r="H78" s="21" t="s">
        <v>33</v>
      </c>
      <c r="I78" s="21" t="str">
        <f t="shared" si="0"/>
        <v>0x04</v>
      </c>
      <c r="J78" s="20" t="str">
        <f>DEC2HEX(MOD(K78,256))</f>
        <v>4</v>
      </c>
      <c r="K78" s="37">
        <f>L73-1</f>
        <v>4</v>
      </c>
      <c r="L78" s="37"/>
    </row>
    <row r="79" spans="1:16" s="20" customFormat="1" x14ac:dyDescent="0.25">
      <c r="A79" s="31" t="s">
        <v>184</v>
      </c>
      <c r="B79" s="32" t="s">
        <v>157</v>
      </c>
      <c r="C79" s="32"/>
      <c r="D79" s="21" t="s">
        <v>302</v>
      </c>
      <c r="E79" s="21" t="s">
        <v>37</v>
      </c>
      <c r="F79" s="21" t="s">
        <v>190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31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0x04</v>
      </c>
      <c r="J80" s="20" t="str">
        <f>DEC2HEX(MOD(K80,256))</f>
        <v>4</v>
      </c>
      <c r="K80" s="37">
        <f>L70+M70</f>
        <v>260</v>
      </c>
      <c r="L80" s="37"/>
    </row>
    <row r="81" spans="1:12" s="20" customFormat="1" x14ac:dyDescent="0.25">
      <c r="A81" s="31" t="s">
        <v>184</v>
      </c>
      <c r="B81" s="32" t="s">
        <v>159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0x01</v>
      </c>
      <c r="J81" s="20" t="str">
        <f>DEC2HEX((K80-MOD(K80,256))/256)</f>
        <v>1</v>
      </c>
      <c r="K81" s="37"/>
      <c r="L81" s="37"/>
    </row>
    <row r="82" spans="1:12" s="20" customFormat="1" x14ac:dyDescent="0.25">
      <c r="A82" s="31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193</v>
      </c>
      <c r="G82" s="22" t="s">
        <v>38</v>
      </c>
      <c r="H82" s="21" t="s">
        <v>33</v>
      </c>
      <c r="I82" s="21" t="str">
        <f t="shared" si="0"/>
        <v>0x03</v>
      </c>
      <c r="J82" s="20" t="str">
        <f>DEC2HEX(MOD(K82,256))</f>
        <v>3</v>
      </c>
      <c r="K82" s="37">
        <f>L70+M70+N70-1</f>
        <v>1539</v>
      </c>
      <c r="L82" s="37"/>
    </row>
    <row r="83" spans="1:12" s="20" customFormat="1" x14ac:dyDescent="0.25">
      <c r="A83" s="31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0x06</v>
      </c>
      <c r="J83" s="20" t="str">
        <f>DEC2HEX((K82-MOD(K82,256))/256)</f>
        <v>6</v>
      </c>
      <c r="K83" s="37"/>
      <c r="L83" s="37"/>
    </row>
    <row r="84" spans="1:12" s="20" customFormat="1" x14ac:dyDescent="0.25">
      <c r="A84" s="31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0x19</v>
      </c>
      <c r="J84" s="20" t="str">
        <f>DEC2HEX(MOD(K84,256))</f>
        <v>19</v>
      </c>
      <c r="K84" s="37">
        <f>L73+M73</f>
        <v>25</v>
      </c>
      <c r="L84" s="37"/>
    </row>
    <row r="85" spans="1:12" s="20" customFormat="1" x14ac:dyDescent="0.25">
      <c r="A85" s="31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31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284</v>
      </c>
      <c r="G86" s="22" t="s">
        <v>38</v>
      </c>
      <c r="H86" s="21" t="s">
        <v>33</v>
      </c>
      <c r="I86" s="21" t="str">
        <f t="shared" si="0"/>
        <v>0xE8</v>
      </c>
      <c r="J86" s="20" t="str">
        <f>DEC2HEX(MOD(K86,256))</f>
        <v>E8</v>
      </c>
      <c r="K86" s="37">
        <f>L73+M73+N73-1</f>
        <v>744</v>
      </c>
      <c r="L86" s="37"/>
    </row>
    <row r="87" spans="1:12" s="20" customFormat="1" x14ac:dyDescent="0.25">
      <c r="A87" s="31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284</v>
      </c>
      <c r="G87" s="24" t="s">
        <v>40</v>
      </c>
      <c r="H87" s="21" t="s">
        <v>33</v>
      </c>
      <c r="I87" s="21" t="str">
        <f t="shared" si="0"/>
        <v>0x02</v>
      </c>
      <c r="J87" s="20" t="str">
        <f>DEC2HEX((K86-MOD(K86,256))/256)</f>
        <v>2</v>
      </c>
      <c r="K87" s="37"/>
      <c r="L87" s="37"/>
    </row>
    <row r="88" spans="1:12" s="20" customFormat="1" x14ac:dyDescent="0.25">
      <c r="A88" s="31" t="s">
        <v>184</v>
      </c>
      <c r="B88" s="50" t="s">
        <v>197</v>
      </c>
      <c r="C88" s="32" t="s">
        <v>196</v>
      </c>
      <c r="D88" s="21" t="s">
        <v>302</v>
      </c>
      <c r="E88" s="21" t="s">
        <v>37</v>
      </c>
      <c r="F88" s="21" t="s">
        <v>274</v>
      </c>
      <c r="G88" s="22" t="s">
        <v>38</v>
      </c>
      <c r="H88" s="21" t="s">
        <v>33</v>
      </c>
      <c r="I88" s="21" t="str">
        <f t="shared" si="0"/>
        <v>0x04</v>
      </c>
      <c r="J88" s="20" t="str">
        <f>DEC2HEX(MOD(K88,256))</f>
        <v>4</v>
      </c>
      <c r="K88" s="37">
        <f>L70+M70</f>
        <v>260</v>
      </c>
      <c r="L88" s="37"/>
    </row>
    <row r="89" spans="1:12" s="20" customFormat="1" x14ac:dyDescent="0.25">
      <c r="A89" s="31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274</v>
      </c>
      <c r="G89" s="24" t="s">
        <v>40</v>
      </c>
      <c r="H89" s="21" t="s">
        <v>33</v>
      </c>
      <c r="I89" s="21" t="str">
        <f t="shared" si="0"/>
        <v>0x01</v>
      </c>
      <c r="J89" s="20" t="str">
        <f>DEC2HEX((K88-MOD(K88,256))/256)</f>
        <v>1</v>
      </c>
      <c r="K89" s="37"/>
      <c r="L89" s="37"/>
    </row>
    <row r="90" spans="1:12" s="20" customFormat="1" x14ac:dyDescent="0.25">
      <c r="A90" s="31" t="s">
        <v>184</v>
      </c>
      <c r="B90" s="50" t="s">
        <v>198</v>
      </c>
      <c r="C90" s="32" t="s">
        <v>196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0x03</v>
      </c>
      <c r="J90" s="20" t="str">
        <f>DEC2HEX(MOD(K90,256))</f>
        <v>3</v>
      </c>
      <c r="K90" s="37">
        <f>L70+M70+N70-1</f>
        <v>1539</v>
      </c>
      <c r="L90" s="37"/>
    </row>
    <row r="91" spans="1:12" s="20" customFormat="1" x14ac:dyDescent="0.25">
      <c r="A91" s="31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0x06</v>
      </c>
      <c r="J91" s="20" t="str">
        <f>DEC2HEX((K90-MOD(K90,256))/256)</f>
        <v>6</v>
      </c>
      <c r="K91" s="37"/>
      <c r="L91" s="37"/>
    </row>
    <row r="92" spans="1:12" s="20" customFormat="1" x14ac:dyDescent="0.25">
      <c r="A92" s="31" t="s">
        <v>184</v>
      </c>
      <c r="B92" s="50" t="s">
        <v>199</v>
      </c>
      <c r="C92" s="32" t="s">
        <v>196</v>
      </c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0x19</v>
      </c>
      <c r="J92" s="20" t="str">
        <f>DEC2HEX(MOD(K92,256))</f>
        <v>19</v>
      </c>
      <c r="K92" s="37">
        <f>L73+M73</f>
        <v>25</v>
      </c>
      <c r="L92" s="37"/>
    </row>
    <row r="93" spans="1:12" s="20" customFormat="1" x14ac:dyDescent="0.25">
      <c r="A93" s="31" t="s">
        <v>184</v>
      </c>
      <c r="B93" s="50" t="s">
        <v>200</v>
      </c>
      <c r="C93" s="32"/>
      <c r="D93" s="21" t="s">
        <v>302</v>
      </c>
      <c r="E93" s="21" t="s">
        <v>37</v>
      </c>
      <c r="F93" s="21" t="s">
        <v>287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31" t="s">
        <v>184</v>
      </c>
      <c r="B94" s="50" t="s">
        <v>201</v>
      </c>
      <c r="C94" s="32" t="s">
        <v>196</v>
      </c>
      <c r="D94" s="21" t="s">
        <v>302</v>
      </c>
      <c r="E94" s="21" t="s">
        <v>37</v>
      </c>
      <c r="F94" s="21" t="s">
        <v>292</v>
      </c>
      <c r="G94" s="22" t="s">
        <v>38</v>
      </c>
      <c r="H94" s="21" t="s">
        <v>33</v>
      </c>
      <c r="I94" s="21" t="str">
        <f t="shared" si="0"/>
        <v>0xE8</v>
      </c>
      <c r="J94" s="20" t="str">
        <f>DEC2HEX(MOD(K94,256))</f>
        <v>E8</v>
      </c>
      <c r="K94" s="37">
        <f>L73+M73+N73-1</f>
        <v>744</v>
      </c>
      <c r="L94" s="37"/>
    </row>
    <row r="95" spans="1:12" s="20" customFormat="1" x14ac:dyDescent="0.25">
      <c r="A95" s="31" t="s">
        <v>184</v>
      </c>
      <c r="B95" s="50" t="s">
        <v>202</v>
      </c>
      <c r="C95" s="32"/>
      <c r="D95" s="21" t="s">
        <v>302</v>
      </c>
      <c r="E95" s="21" t="s">
        <v>37</v>
      </c>
      <c r="F95" s="21" t="s">
        <v>292</v>
      </c>
      <c r="G95" s="24" t="s">
        <v>40</v>
      </c>
      <c r="H95" s="21" t="s">
        <v>33</v>
      </c>
      <c r="I95" s="21" t="str">
        <f t="shared" si="0"/>
        <v>0x02</v>
      </c>
      <c r="J95" s="20" t="str">
        <f>DEC2HEX((K94-MOD(K94,256))/256)</f>
        <v>2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222</v>
      </c>
      <c r="G96" s="22" t="s">
        <v>38</v>
      </c>
      <c r="H96" s="21" t="s">
        <v>33</v>
      </c>
      <c r="I96" s="21" t="s">
        <v>164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363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31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207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31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208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31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0x27</v>
      </c>
      <c r="J103" s="20" t="str">
        <f>DEC2HEX(MOD(K103,256))</f>
        <v>27</v>
      </c>
      <c r="K103" s="37">
        <f>L70-1</f>
        <v>39</v>
      </c>
      <c r="L103" s="37"/>
    </row>
    <row r="104" spans="1:12" s="20" customFormat="1" x14ac:dyDescent="0.25">
      <c r="A104" s="31" t="s">
        <v>184</v>
      </c>
      <c r="B104" s="32" t="s">
        <v>206</v>
      </c>
      <c r="C104" s="32"/>
      <c r="D104" s="21" t="s">
        <v>302</v>
      </c>
      <c r="E104" s="21" t="s">
        <v>37</v>
      </c>
      <c r="F104" s="21" t="s">
        <v>209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31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0x04</v>
      </c>
      <c r="J105" s="20" t="str">
        <f>DEC2HEX(MOD(K105,256))</f>
        <v>4</v>
      </c>
      <c r="K105" s="37">
        <f>L70+M70</f>
        <v>260</v>
      </c>
      <c r="L105" s="37"/>
    </row>
    <row r="106" spans="1:12" s="20" customFormat="1" x14ac:dyDescent="0.25">
      <c r="A106" s="31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218</v>
      </c>
      <c r="G106" s="24" t="s">
        <v>40</v>
      </c>
      <c r="H106" s="21" t="s">
        <v>33</v>
      </c>
      <c r="I106" s="21" t="str">
        <f t="shared" si="1"/>
        <v>0x01</v>
      </c>
      <c r="J106" s="20" t="str">
        <f>DEC2HEX((K105-MOD(K105,256))/256)</f>
        <v>1</v>
      </c>
      <c r="K106" s="37"/>
      <c r="L106" s="37"/>
    </row>
    <row r="107" spans="1:12" s="20" customFormat="1" x14ac:dyDescent="0.25">
      <c r="A107" s="31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0x03</v>
      </c>
      <c r="J107" s="20" t="str">
        <f>DEC2HEX(MOD(K107,256))</f>
        <v>3</v>
      </c>
      <c r="K107" s="37">
        <f>L70+M70+N70-1</f>
        <v>1539</v>
      </c>
      <c r="L107" s="37"/>
    </row>
    <row r="108" spans="1:12" s="20" customFormat="1" x14ac:dyDescent="0.25">
      <c r="A108" s="31" t="s">
        <v>184</v>
      </c>
      <c r="B108" s="32" t="s">
        <v>213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0x06</v>
      </c>
      <c r="J108" s="20" t="str">
        <f>DEC2HEX((K107-MOD(K107,256))/256)</f>
        <v>6</v>
      </c>
      <c r="K108" s="37"/>
      <c r="L108" s="37"/>
    </row>
    <row r="109" spans="1:12" s="20" customFormat="1" x14ac:dyDescent="0.25">
      <c r="A109" s="31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220</v>
      </c>
      <c r="G109" s="22" t="s">
        <v>38</v>
      </c>
      <c r="H109" s="21" t="s">
        <v>33</v>
      </c>
      <c r="I109" s="21" t="str">
        <f t="shared" si="1"/>
        <v>0x19</v>
      </c>
      <c r="J109" s="20" t="str">
        <f>DEC2HEX(MOD(K109,256))</f>
        <v>19</v>
      </c>
      <c r="K109" s="37">
        <f>L73+M73</f>
        <v>25</v>
      </c>
      <c r="L109" s="37"/>
    </row>
    <row r="110" spans="1:12" s="20" customFormat="1" x14ac:dyDescent="0.25">
      <c r="A110" s="31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31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295</v>
      </c>
      <c r="G111" s="22" t="s">
        <v>38</v>
      </c>
      <c r="H111" s="21" t="s">
        <v>33</v>
      </c>
      <c r="I111" s="21" t="str">
        <f t="shared" si="1"/>
        <v>0xE8</v>
      </c>
      <c r="J111" s="20" t="str">
        <f>DEC2HEX(MOD(K111,256))</f>
        <v>E8</v>
      </c>
      <c r="K111" s="37">
        <f>L73+M73+N73-1</f>
        <v>744</v>
      </c>
      <c r="L111" s="37"/>
    </row>
    <row r="112" spans="1:12" s="20" customFormat="1" x14ac:dyDescent="0.25">
      <c r="A112" s="31" t="s">
        <v>184</v>
      </c>
      <c r="B112" s="32" t="s">
        <v>216</v>
      </c>
      <c r="C112" s="32"/>
      <c r="D112" s="21" t="s">
        <v>302</v>
      </c>
      <c r="E112" s="21" t="s">
        <v>37</v>
      </c>
      <c r="F112" s="21" t="s">
        <v>295</v>
      </c>
      <c r="G112" s="24" t="s">
        <v>40</v>
      </c>
      <c r="H112" s="21" t="s">
        <v>33</v>
      </c>
      <c r="I112" s="21" t="str">
        <f t="shared" si="1"/>
        <v>0x02</v>
      </c>
      <c r="J112" s="20" t="str">
        <f>DEC2HEX((K111-MOD(K111,256))/256)</f>
        <v>2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518</v>
      </c>
      <c r="C119" s="32" t="s">
        <v>519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411</v>
      </c>
      <c r="B122" s="50" t="s">
        <v>360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351</v>
      </c>
      <c r="I122" s="21" t="s">
        <v>41</v>
      </c>
      <c r="K122" s="37"/>
      <c r="L122" s="37"/>
    </row>
    <row r="123" spans="1:12" s="20" customFormat="1" x14ac:dyDescent="0.25">
      <c r="A123" s="31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384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386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309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386</v>
      </c>
      <c r="C125" s="32" t="s">
        <v>223</v>
      </c>
      <c r="D125" s="21" t="s">
        <v>305</v>
      </c>
      <c r="E125" s="21" t="s">
        <v>37</v>
      </c>
      <c r="F125" s="21" t="s">
        <v>171</v>
      </c>
      <c r="G125" s="24" t="s">
        <v>309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395</v>
      </c>
      <c r="C126" s="32" t="s">
        <v>223</v>
      </c>
      <c r="D126" s="21" t="s">
        <v>305</v>
      </c>
      <c r="E126" s="21" t="s">
        <v>37</v>
      </c>
      <c r="F126" s="21" t="s">
        <v>396</v>
      </c>
      <c r="G126" s="22" t="s">
        <v>38</v>
      </c>
      <c r="H126" s="21" t="s">
        <v>399</v>
      </c>
      <c r="I126" s="21" t="s">
        <v>402</v>
      </c>
      <c r="K126" s="37"/>
      <c r="L126" s="37"/>
    </row>
    <row r="127" spans="1:12" s="20" customFormat="1" x14ac:dyDescent="0.25">
      <c r="A127" s="31" t="s">
        <v>184</v>
      </c>
      <c r="B127" s="50" t="s">
        <v>395</v>
      </c>
      <c r="C127" s="32" t="s">
        <v>223</v>
      </c>
      <c r="D127" s="21" t="s">
        <v>305</v>
      </c>
      <c r="E127" s="21" t="s">
        <v>37</v>
      </c>
      <c r="F127" s="21" t="s">
        <v>396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31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39</v>
      </c>
      <c r="K128" s="37"/>
      <c r="L128" s="37"/>
    </row>
    <row r="129" spans="1:12" s="20" customFormat="1" x14ac:dyDescent="0.25">
      <c r="A129" s="31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121</v>
      </c>
      <c r="G129" s="24" t="s">
        <v>40</v>
      </c>
      <c r="H129" s="21" t="s">
        <v>33</v>
      </c>
      <c r="I129" s="21" t="s">
        <v>39</v>
      </c>
      <c r="K129" s="37"/>
      <c r="L129" s="37"/>
    </row>
    <row r="130" spans="1:12" s="20" customFormat="1" x14ac:dyDescent="0.25">
      <c r="A130" s="31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39</v>
      </c>
      <c r="K130" s="37"/>
      <c r="L130" s="37"/>
    </row>
    <row r="131" spans="1:12" s="20" customFormat="1" x14ac:dyDescent="0.25">
      <c r="A131" s="31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39</v>
      </c>
      <c r="K131" s="37"/>
      <c r="L131" s="37"/>
    </row>
    <row r="132" spans="1:12" s="20" customFormat="1" x14ac:dyDescent="0.25">
      <c r="A132" s="31" t="s">
        <v>450</v>
      </c>
      <c r="B132" s="32" t="s">
        <v>452</v>
      </c>
      <c r="C132" s="32"/>
      <c r="D132" s="21" t="s">
        <v>308</v>
      </c>
      <c r="E132" s="21" t="s">
        <v>37</v>
      </c>
      <c r="F132" s="21" t="s">
        <v>503</v>
      </c>
      <c r="G132" s="22" t="s">
        <v>38</v>
      </c>
      <c r="H132" s="21" t="s">
        <v>455</v>
      </c>
      <c r="I132" s="21" t="s">
        <v>457</v>
      </c>
      <c r="K132" s="37"/>
      <c r="L132" s="37"/>
    </row>
    <row r="133" spans="1:12" s="20" customFormat="1" x14ac:dyDescent="0.25">
      <c r="A133" s="31" t="s">
        <v>450</v>
      </c>
      <c r="B133" s="32" t="s">
        <v>465</v>
      </c>
      <c r="C133" s="32"/>
      <c r="D133" s="21" t="s">
        <v>308</v>
      </c>
      <c r="E133" s="21" t="s">
        <v>37</v>
      </c>
      <c r="F133" s="21" t="s">
        <v>453</v>
      </c>
      <c r="G133" s="24" t="s">
        <v>40</v>
      </c>
      <c r="H133" s="21" t="s">
        <v>455</v>
      </c>
      <c r="I133" s="21" t="s">
        <v>466</v>
      </c>
      <c r="K133" s="37"/>
      <c r="L133" s="37"/>
    </row>
    <row r="134" spans="1:12" s="20" customFormat="1" x14ac:dyDescent="0.25">
      <c r="A134" s="31" t="s">
        <v>450</v>
      </c>
      <c r="B134" s="32" t="s">
        <v>467</v>
      </c>
      <c r="C134" s="32"/>
      <c r="D134" s="21" t="s">
        <v>308</v>
      </c>
      <c r="E134" s="21" t="s">
        <v>37</v>
      </c>
      <c r="F134" s="21" t="s">
        <v>457</v>
      </c>
      <c r="G134" s="22" t="s">
        <v>38</v>
      </c>
      <c r="H134" s="21" t="s">
        <v>455</v>
      </c>
      <c r="I134" s="21" t="s">
        <v>453</v>
      </c>
      <c r="K134" s="37"/>
      <c r="L134" s="37"/>
    </row>
    <row r="135" spans="1:12" s="20" customFormat="1" x14ac:dyDescent="0.25">
      <c r="A135" s="31" t="s">
        <v>450</v>
      </c>
      <c r="B135" s="32" t="s">
        <v>463</v>
      </c>
      <c r="C135" s="32"/>
      <c r="D135" s="21" t="s">
        <v>308</v>
      </c>
      <c r="E135" s="21" t="s">
        <v>37</v>
      </c>
      <c r="F135" s="21" t="s">
        <v>457</v>
      </c>
      <c r="G135" s="24" t="s">
        <v>40</v>
      </c>
      <c r="H135" s="21" t="s">
        <v>455</v>
      </c>
      <c r="I135" s="21" t="s">
        <v>457</v>
      </c>
      <c r="K135" s="37"/>
      <c r="L135" s="37"/>
    </row>
    <row r="136" spans="1:12" s="20" customFormat="1" x14ac:dyDescent="0.25">
      <c r="A136" s="31" t="s">
        <v>450</v>
      </c>
      <c r="B136" s="32" t="s">
        <v>504</v>
      </c>
      <c r="C136" s="32"/>
      <c r="D136" s="21" t="s">
        <v>308</v>
      </c>
      <c r="E136" s="21" t="s">
        <v>37</v>
      </c>
      <c r="F136" s="21" t="s">
        <v>505</v>
      </c>
      <c r="G136" s="22" t="s">
        <v>38</v>
      </c>
      <c r="H136" s="21" t="s">
        <v>33</v>
      </c>
      <c r="I136" s="21" t="s">
        <v>283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60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101:I112 I68:I95" name="範圍1_3_3_1_1_1_2_1_1_2_1_1_1"/>
    <protectedRange password="EBC5" sqref="I32:I36 I39:I41 I51:I52 I64 I128:I131" name="範圍1_3_3_1_1_1_2_1_1_2_1_4"/>
    <protectedRange password="EBC5" sqref="I42" name="範圍1_3_3_1_1_1_2_1_1_2_2"/>
    <protectedRange password="EBC5" sqref="I43:I46" name="範圍1_3_3_1_1_1_2_1_1_2_1_2_1"/>
    <protectedRange password="EBC5" sqref="I132:I135" name="範圍1_3_3_1_1_1_2_1_1_2_1"/>
    <protectedRange password="EBC5" sqref="I136" name="範圍1_3_3_1_1_1_2_1_1_2_3"/>
  </protectedRanges>
  <mergeCells count="11">
    <mergeCell ref="L68:P68"/>
    <mergeCell ref="L71:P71"/>
    <mergeCell ref="L74:P74"/>
    <mergeCell ref="L75:P75"/>
    <mergeCell ref="A99:C99"/>
    <mergeCell ref="A1:C1"/>
    <mergeCell ref="D141:G141"/>
    <mergeCell ref="A53:C53"/>
    <mergeCell ref="A66:C66"/>
    <mergeCell ref="A37:C37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FF00"/>
  </sheetPr>
  <dimension ref="A1:U142"/>
  <sheetViews>
    <sheetView topLeftCell="A43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8.2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299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268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268</v>
      </c>
      <c r="G30" s="24" t="s">
        <v>40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272</v>
      </c>
      <c r="G32" s="22" t="s">
        <v>38</v>
      </c>
      <c r="H32" s="21" t="s">
        <v>33</v>
      </c>
      <c r="I32" s="21" t="s">
        <v>41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272</v>
      </c>
      <c r="G33" s="24" t="s">
        <v>40</v>
      </c>
      <c r="H33" s="21" t="s">
        <v>33</v>
      </c>
      <c r="I33" s="21" t="s">
        <v>125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277</v>
      </c>
      <c r="G34" s="22" t="s">
        <v>38</v>
      </c>
      <c r="H34" s="21" t="s">
        <v>33</v>
      </c>
      <c r="I34" s="21" t="s">
        <v>145</v>
      </c>
      <c r="K34" s="37"/>
      <c r="L34" s="37" t="s">
        <v>383</v>
      </c>
      <c r="M34" s="20" t="str">
        <f>IF(I34="0x13","0.5",IF(I34="0x12","1","2"))</f>
        <v>1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406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0xA2</v>
      </c>
      <c r="J39" s="20" t="str">
        <f>DEC2HEX(MOD(N39,256))</f>
        <v>A2</v>
      </c>
      <c r="K39" s="37" t="str">
        <f>DEC2HEX(N39)</f>
        <v>2E8BA2</v>
      </c>
      <c r="L39" s="78" t="s">
        <v>376</v>
      </c>
      <c r="M39" s="75">
        <f>432*524288/(P70*P73*L75/1000000)</f>
        <v>3050402.9090909092</v>
      </c>
      <c r="N39" s="75">
        <f>(M39*M34)</f>
        <v>3050402.9090909092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0x8B</v>
      </c>
      <c r="J40" s="20" t="str">
        <f>DEC2HEX(MOD((N39-MOD(N39,256))/256,256))</f>
        <v>8B</v>
      </c>
      <c r="K40" s="37"/>
      <c r="L40" s="78" t="s">
        <v>380</v>
      </c>
      <c r="M40" s="75">
        <f>16*524288/(P70*P73)</f>
        <v>2.7114692525252524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0x2E</v>
      </c>
      <c r="J41" s="20" t="str">
        <f>DEC2HEX((N39-MOD(N39,256))/65536)</f>
        <v>2E</v>
      </c>
      <c r="K41" s="37"/>
      <c r="L41" s="78" t="s">
        <v>381</v>
      </c>
      <c r="M41" s="75">
        <f>IF(M40&gt;16,M40*128, M40*256)</f>
        <v>694.13612864646461</v>
      </c>
      <c r="N41" s="75"/>
    </row>
    <row r="42" spans="1:14" s="20" customFormat="1" x14ac:dyDescent="0.25">
      <c r="A42" s="68" t="s">
        <v>224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283</v>
      </c>
      <c r="G42" s="22" t="s">
        <v>38</v>
      </c>
      <c r="H42" s="21" t="s">
        <v>33</v>
      </c>
      <c r="I42" s="21" t="s">
        <v>447</v>
      </c>
      <c r="K42" s="37" t="str">
        <f>DEC2HEX(M41)</f>
        <v>2B6</v>
      </c>
      <c r="L42" s="37"/>
    </row>
    <row r="43" spans="1:14" s="20" customFormat="1" x14ac:dyDescent="0.25">
      <c r="A43" s="68" t="s">
        <v>224</v>
      </c>
      <c r="B43" s="50" t="s">
        <v>239</v>
      </c>
      <c r="C43" s="32"/>
      <c r="D43" s="21" t="s">
        <v>305</v>
      </c>
      <c r="E43" s="21" t="s">
        <v>37</v>
      </c>
      <c r="F43" s="21" t="s">
        <v>283</v>
      </c>
      <c r="G43" s="24" t="s">
        <v>40</v>
      </c>
      <c r="H43" s="21" t="s">
        <v>33</v>
      </c>
      <c r="I43" s="21" t="s">
        <v>131</v>
      </c>
      <c r="K43" s="37"/>
      <c r="L43" s="37"/>
    </row>
    <row r="44" spans="1:14" s="20" customFormat="1" x14ac:dyDescent="0.25">
      <c r="A44" s="68" t="s">
        <v>429</v>
      </c>
      <c r="B44" s="50" t="s">
        <v>435</v>
      </c>
      <c r="C44" s="32"/>
      <c r="D44" s="21" t="s">
        <v>305</v>
      </c>
      <c r="E44" s="21" t="s">
        <v>37</v>
      </c>
      <c r="F44" s="21" t="s">
        <v>431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420</v>
      </c>
      <c r="B45" s="50" t="s">
        <v>423</v>
      </c>
      <c r="C45" s="32"/>
      <c r="D45" s="21" t="s">
        <v>302</v>
      </c>
      <c r="E45" s="21" t="s">
        <v>37</v>
      </c>
      <c r="F45" s="21" t="s">
        <v>413</v>
      </c>
      <c r="G45" s="22" t="s">
        <v>38</v>
      </c>
      <c r="H45" s="21" t="s">
        <v>417</v>
      </c>
      <c r="I45" s="21" t="s">
        <v>428</v>
      </c>
      <c r="K45" s="37"/>
      <c r="L45" s="37"/>
    </row>
    <row r="46" spans="1:14" s="20" customFormat="1" x14ac:dyDescent="0.25">
      <c r="A46" s="68" t="s">
        <v>420</v>
      </c>
      <c r="B46" s="50" t="s">
        <v>419</v>
      </c>
      <c r="C46" s="32"/>
      <c r="D46" s="21" t="s">
        <v>302</v>
      </c>
      <c r="E46" s="21" t="s">
        <v>37</v>
      </c>
      <c r="F46" s="21" t="s">
        <v>414</v>
      </c>
      <c r="G46" s="24" t="s">
        <v>40</v>
      </c>
      <c r="H46" s="21" t="s">
        <v>416</v>
      </c>
      <c r="I46" s="21" t="s">
        <v>427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39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163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232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279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39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349</v>
      </c>
      <c r="K59" s="37"/>
      <c r="L59" s="37"/>
    </row>
    <row r="60" spans="1:12" s="20" customFormat="1" x14ac:dyDescent="0.25">
      <c r="A60" s="31" t="s">
        <v>178</v>
      </c>
      <c r="B60" s="50" t="s">
        <v>354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345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522</v>
      </c>
      <c r="C62" s="32"/>
      <c r="D62" s="21" t="s">
        <v>306</v>
      </c>
      <c r="E62" s="21" t="s">
        <v>37</v>
      </c>
      <c r="F62" s="21" t="s">
        <v>529</v>
      </c>
      <c r="G62" s="22" t="s">
        <v>38</v>
      </c>
      <c r="H62" s="21" t="s">
        <v>131</v>
      </c>
      <c r="I62" s="21" t="str">
        <f>IF(L77="NEG","0x01","0x00")</f>
        <v>0x00</v>
      </c>
      <c r="K62" s="37"/>
      <c r="L62" s="37"/>
    </row>
    <row r="63" spans="1:12" s="20" customFormat="1" x14ac:dyDescent="0.25">
      <c r="A63" s="68"/>
      <c r="B63" s="50" t="s">
        <v>525</v>
      </c>
      <c r="C63" s="32"/>
      <c r="D63" s="21" t="s">
        <v>306</v>
      </c>
      <c r="E63" s="21" t="s">
        <v>37</v>
      </c>
      <c r="F63" s="21" t="s">
        <v>529</v>
      </c>
      <c r="G63" s="22" t="s">
        <v>38</v>
      </c>
      <c r="H63" s="21" t="s">
        <v>533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0xBD</v>
      </c>
      <c r="J68" s="20" t="str">
        <f>DEC2HEX(MOD(K68,256))</f>
        <v>BD</v>
      </c>
      <c r="K68" s="37">
        <f>P70-1</f>
        <v>2749</v>
      </c>
      <c r="L68" s="85" t="s">
        <v>324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0xA</v>
      </c>
      <c r="J69" s="20" t="str">
        <f>DEC2HEX((K68-MOD(K68,256))/256)</f>
        <v>A</v>
      </c>
      <c r="K69" s="37"/>
      <c r="L69" s="71" t="s">
        <v>325</v>
      </c>
      <c r="M69" s="71" t="s">
        <v>326</v>
      </c>
      <c r="N69" s="71" t="s">
        <v>327</v>
      </c>
      <c r="O69" s="71" t="s">
        <v>316</v>
      </c>
      <c r="P69" s="71" t="s">
        <v>317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0x64</v>
      </c>
      <c r="J70" s="20" t="str">
        <f>DEC2HEX(MOD(K70,256))</f>
        <v>64</v>
      </c>
      <c r="K70" s="37">
        <f>P73-1</f>
        <v>1124</v>
      </c>
      <c r="L70" s="72">
        <v>44</v>
      </c>
      <c r="M70" s="72">
        <v>148</v>
      </c>
      <c r="N70" s="72">
        <v>1920</v>
      </c>
      <c r="O70" s="72">
        <f>P70-N70-M70-L70</f>
        <v>638</v>
      </c>
      <c r="P70" s="72">
        <v>2750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145</v>
      </c>
      <c r="G71" s="24" t="s">
        <v>40</v>
      </c>
      <c r="H71" s="21" t="s">
        <v>33</v>
      </c>
      <c r="I71" s="21" t="str">
        <f t="shared" si="0"/>
        <v>0x04</v>
      </c>
      <c r="J71" s="20" t="str">
        <f>DEC2HEX((K70-MOD(K70,256))/256)</f>
        <v>4</v>
      </c>
      <c r="K71" s="37"/>
      <c r="L71" s="85" t="s">
        <v>328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135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329</v>
      </c>
      <c r="M72" s="71" t="s">
        <v>326</v>
      </c>
      <c r="N72" s="71" t="s">
        <v>327</v>
      </c>
      <c r="O72" s="71" t="s">
        <v>316</v>
      </c>
      <c r="P72" s="71" t="s">
        <v>330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5</v>
      </c>
      <c r="M73" s="72">
        <v>36</v>
      </c>
      <c r="N73" s="72">
        <v>1080</v>
      </c>
      <c r="O73" s="72">
        <f>P73-N73-M73-L73</f>
        <v>4</v>
      </c>
      <c r="P73" s="72">
        <v>1125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71</v>
      </c>
      <c r="G74" s="22" t="s">
        <v>38</v>
      </c>
      <c r="H74" s="21" t="s">
        <v>33</v>
      </c>
      <c r="I74" s="21" t="str">
        <f t="shared" si="0"/>
        <v>0x2B</v>
      </c>
      <c r="J74" s="20" t="str">
        <f>DEC2HEX(MOD(K74,256))</f>
        <v>2B</v>
      </c>
      <c r="K74" s="37">
        <f>L70-1</f>
        <v>43</v>
      </c>
      <c r="L74" s="85" t="s">
        <v>331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24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534</v>
      </c>
      <c r="M76" s="80" t="s">
        <v>536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540</v>
      </c>
      <c r="M77" s="72" t="s">
        <v>540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0x04</v>
      </c>
      <c r="J78" s="20" t="str">
        <f>DEC2HEX(MOD(K78,256))</f>
        <v>4</v>
      </c>
      <c r="K78" s="37">
        <f>L73-1</f>
        <v>4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54</v>
      </c>
      <c r="G80" s="22" t="s">
        <v>38</v>
      </c>
      <c r="H80" s="21" t="s">
        <v>33</v>
      </c>
      <c r="I80" s="21" t="str">
        <f t="shared" si="0"/>
        <v>0xC0</v>
      </c>
      <c r="J80" s="20" t="str">
        <f>DEC2HEX(MOD(K80,256))</f>
        <v>C0</v>
      </c>
      <c r="K80" s="37">
        <f>L70+M70</f>
        <v>192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54</v>
      </c>
      <c r="G81" s="24" t="s">
        <v>40</v>
      </c>
      <c r="H81" s="21" t="s">
        <v>33</v>
      </c>
      <c r="I81" s="21" t="str">
        <f t="shared" si="0"/>
        <v>0x00</v>
      </c>
      <c r="J81" s="20" t="str">
        <f>DEC2HEX((K80-MOD(K80,256))/256)</f>
        <v>0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0x3F</v>
      </c>
      <c r="J82" s="20" t="str">
        <f>DEC2HEX(MOD(K82,256))</f>
        <v>3F</v>
      </c>
      <c r="K82" s="37">
        <f>L70+M70+N70-1</f>
        <v>2111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0x08</v>
      </c>
      <c r="J83" s="20" t="str">
        <f>DEC2HEX((K82-MOD(K82,256))/256)</f>
        <v>8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0x29</v>
      </c>
      <c r="J84" s="20" t="str">
        <f>DEC2HEX(MOD(K84,256))</f>
        <v>29</v>
      </c>
      <c r="K84" s="37">
        <f>L73+M73</f>
        <v>41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149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283</v>
      </c>
      <c r="G86" s="22" t="s">
        <v>38</v>
      </c>
      <c r="H86" s="21" t="s">
        <v>33</v>
      </c>
      <c r="I86" s="21" t="str">
        <f t="shared" si="0"/>
        <v>0x60</v>
      </c>
      <c r="J86" s="20" t="str">
        <f>DEC2HEX(MOD(K86,256))</f>
        <v>60</v>
      </c>
      <c r="K86" s="37">
        <f>L73+M73+N73-1</f>
        <v>1120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283</v>
      </c>
      <c r="G87" s="24" t="s">
        <v>40</v>
      </c>
      <c r="H87" s="21" t="s">
        <v>33</v>
      </c>
      <c r="I87" s="21" t="str">
        <f t="shared" si="0"/>
        <v>0x04</v>
      </c>
      <c r="J87" s="20" t="str">
        <f>DEC2HEX((K86-MOD(K86,256))/256)</f>
        <v>4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272</v>
      </c>
      <c r="G88" s="22" t="s">
        <v>38</v>
      </c>
      <c r="H88" s="21" t="s">
        <v>33</v>
      </c>
      <c r="I88" s="21" t="str">
        <f t="shared" si="0"/>
        <v>0xC0</v>
      </c>
      <c r="J88" s="20" t="str">
        <f>DEC2HEX(MOD(K88,256))</f>
        <v>C0</v>
      </c>
      <c r="K88" s="37">
        <f>L70+M70</f>
        <v>192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272</v>
      </c>
      <c r="G89" s="24" t="s">
        <v>40</v>
      </c>
      <c r="H89" s="21" t="s">
        <v>33</v>
      </c>
      <c r="I89" s="21" t="str">
        <f t="shared" si="0"/>
        <v>0x00</v>
      </c>
      <c r="J89" s="20" t="str">
        <f>DEC2HEX((K88-MOD(K88,256))/256)</f>
        <v>0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0x3F</v>
      </c>
      <c r="J90" s="20" t="str">
        <f>DEC2HEX(MOD(K90,256))</f>
        <v>3F</v>
      </c>
      <c r="K90" s="37">
        <f>L70+M70+N70-1</f>
        <v>2111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0x08</v>
      </c>
      <c r="J91" s="20" t="str">
        <f>DEC2HEX((K90-MOD(K90,256))/256)</f>
        <v>8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0x29</v>
      </c>
      <c r="J92" s="20" t="str">
        <f>DEC2HEX(MOD(K92,256))</f>
        <v>29</v>
      </c>
      <c r="K92" s="37">
        <f>L73+M73</f>
        <v>41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287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279</v>
      </c>
      <c r="G94" s="22" t="s">
        <v>38</v>
      </c>
      <c r="H94" s="21" t="s">
        <v>33</v>
      </c>
      <c r="I94" s="21" t="str">
        <f t="shared" si="0"/>
        <v>0x60</v>
      </c>
      <c r="J94" s="20" t="str">
        <f>DEC2HEX(MOD(K94,256))</f>
        <v>60</v>
      </c>
      <c r="K94" s="37">
        <f>L73+M73+N73-1</f>
        <v>1120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279</v>
      </c>
      <c r="G95" s="24" t="s">
        <v>40</v>
      </c>
      <c r="H95" s="21" t="s">
        <v>33</v>
      </c>
      <c r="I95" s="21" t="str">
        <f t="shared" si="0"/>
        <v>0x04</v>
      </c>
      <c r="J95" s="20" t="str">
        <f>DEC2HEX((K94-MOD(K94,256))/256)</f>
        <v>4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364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203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0x2B</v>
      </c>
      <c r="J103" s="20" t="str">
        <f>DEC2HEX(MOD(K103,256))</f>
        <v>2B</v>
      </c>
      <c r="K103" s="37">
        <f>L70-1</f>
        <v>43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0xC0</v>
      </c>
      <c r="J105" s="20" t="str">
        <f>DEC2HEX(MOD(K105,256))</f>
        <v>C0</v>
      </c>
      <c r="K105" s="37">
        <f>L70+M70</f>
        <v>192</v>
      </c>
      <c r="L105" s="37"/>
    </row>
    <row r="106" spans="1:12" s="20" customFormat="1" x14ac:dyDescent="0.25">
      <c r="A106" s="68" t="s">
        <v>184</v>
      </c>
      <c r="B106" s="32" t="s">
        <v>210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0x00</v>
      </c>
      <c r="J106" s="20" t="str">
        <f>DEC2HEX((K105-MOD(K105,256))/256)</f>
        <v>0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0x3F</v>
      </c>
      <c r="J107" s="20" t="str">
        <f>DEC2HEX(MOD(K107,256))</f>
        <v>3F</v>
      </c>
      <c r="K107" s="37">
        <f>L70+M70+N70-1</f>
        <v>2111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0x08</v>
      </c>
      <c r="J108" s="20" t="str">
        <f>DEC2HEX((K107-MOD(K107,256))/256)</f>
        <v>8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0x29</v>
      </c>
      <c r="J109" s="20" t="str">
        <f>DEC2HEX(MOD(K109,256))</f>
        <v>29</v>
      </c>
      <c r="K109" s="37">
        <f>L73+M73</f>
        <v>41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293</v>
      </c>
      <c r="G111" s="22" t="s">
        <v>38</v>
      </c>
      <c r="H111" s="21" t="s">
        <v>33</v>
      </c>
      <c r="I111" s="21" t="str">
        <f t="shared" si="1"/>
        <v>0x60</v>
      </c>
      <c r="J111" s="20" t="str">
        <f>DEC2HEX(MOD(K111,256))</f>
        <v>60</v>
      </c>
      <c r="K111" s="37">
        <f>L73+M73+N73-1</f>
        <v>1120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293</v>
      </c>
      <c r="G112" s="24" t="s">
        <v>40</v>
      </c>
      <c r="H112" s="21" t="s">
        <v>33</v>
      </c>
      <c r="I112" s="21" t="str">
        <f t="shared" si="1"/>
        <v>0x04</v>
      </c>
      <c r="J112" s="20" t="str">
        <f>DEC2HEX((K111-MOD(K111,256))/256)</f>
        <v>4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373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517</v>
      </c>
      <c r="C119" s="32" t="s">
        <v>519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411</v>
      </c>
      <c r="B122" s="50" t="s">
        <v>360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351</v>
      </c>
      <c r="I122" s="21" t="s">
        <v>41</v>
      </c>
      <c r="K122" s="37"/>
      <c r="L122" s="37"/>
    </row>
    <row r="123" spans="1:12" s="20" customFormat="1" x14ac:dyDescent="0.25">
      <c r="A123" s="68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384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386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309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386</v>
      </c>
      <c r="C125" s="32" t="s">
        <v>223</v>
      </c>
      <c r="D125" s="21" t="s">
        <v>305</v>
      </c>
      <c r="E125" s="21" t="s">
        <v>37</v>
      </c>
      <c r="F125" s="21" t="s">
        <v>39</v>
      </c>
      <c r="G125" s="24" t="s">
        <v>309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393</v>
      </c>
      <c r="C126" s="32" t="s">
        <v>223</v>
      </c>
      <c r="D126" s="21" t="s">
        <v>305</v>
      </c>
      <c r="E126" s="21" t="s">
        <v>37</v>
      </c>
      <c r="F126" s="21" t="s">
        <v>397</v>
      </c>
      <c r="G126" s="22" t="s">
        <v>38</v>
      </c>
      <c r="H126" s="21" t="s">
        <v>399</v>
      </c>
      <c r="I126" s="21" t="s">
        <v>402</v>
      </c>
      <c r="K126" s="37"/>
      <c r="L126" s="37"/>
    </row>
    <row r="127" spans="1:12" s="20" customFormat="1" x14ac:dyDescent="0.25">
      <c r="A127" s="31" t="s">
        <v>184</v>
      </c>
      <c r="B127" s="50" t="s">
        <v>393</v>
      </c>
      <c r="C127" s="32" t="s">
        <v>223</v>
      </c>
      <c r="D127" s="21" t="s">
        <v>305</v>
      </c>
      <c r="E127" s="21" t="s">
        <v>37</v>
      </c>
      <c r="F127" s="21" t="s">
        <v>397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311</v>
      </c>
      <c r="K128" s="37"/>
      <c r="L128" s="37"/>
    </row>
    <row r="129" spans="1:12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311</v>
      </c>
      <c r="K129" s="37"/>
      <c r="L129" s="37"/>
    </row>
    <row r="130" spans="1:12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311</v>
      </c>
      <c r="K130" s="37"/>
      <c r="L130" s="37"/>
    </row>
    <row r="131" spans="1:12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311</v>
      </c>
      <c r="K131" s="37"/>
      <c r="L131" s="37"/>
    </row>
    <row r="132" spans="1:12" s="20" customFormat="1" x14ac:dyDescent="0.25">
      <c r="A132" s="31" t="s">
        <v>450</v>
      </c>
      <c r="B132" s="32" t="s">
        <v>452</v>
      </c>
      <c r="C132" s="32"/>
      <c r="D132" s="21" t="s">
        <v>308</v>
      </c>
      <c r="E132" s="21" t="s">
        <v>37</v>
      </c>
      <c r="F132" s="21" t="s">
        <v>453</v>
      </c>
      <c r="G132" s="22" t="s">
        <v>38</v>
      </c>
      <c r="H132" s="21" t="s">
        <v>455</v>
      </c>
      <c r="I132" s="21" t="s">
        <v>457</v>
      </c>
      <c r="K132" s="37"/>
      <c r="L132" s="37"/>
    </row>
    <row r="133" spans="1:12" s="20" customFormat="1" x14ac:dyDescent="0.25">
      <c r="A133" s="31" t="s">
        <v>450</v>
      </c>
      <c r="B133" s="32" t="s">
        <v>465</v>
      </c>
      <c r="C133" s="32"/>
      <c r="D133" s="21" t="s">
        <v>308</v>
      </c>
      <c r="E133" s="21" t="s">
        <v>37</v>
      </c>
      <c r="F133" s="21" t="s">
        <v>453</v>
      </c>
      <c r="G133" s="24" t="s">
        <v>40</v>
      </c>
      <c r="H133" s="21" t="s">
        <v>455</v>
      </c>
      <c r="I133" s="21" t="s">
        <v>466</v>
      </c>
      <c r="K133" s="37"/>
      <c r="L133" s="37"/>
    </row>
    <row r="134" spans="1:12" s="20" customFormat="1" x14ac:dyDescent="0.25">
      <c r="A134" s="31" t="s">
        <v>450</v>
      </c>
      <c r="B134" s="32" t="s">
        <v>467</v>
      </c>
      <c r="C134" s="32"/>
      <c r="D134" s="21" t="s">
        <v>308</v>
      </c>
      <c r="E134" s="21" t="s">
        <v>37</v>
      </c>
      <c r="F134" s="21" t="s">
        <v>457</v>
      </c>
      <c r="G134" s="22" t="s">
        <v>38</v>
      </c>
      <c r="H134" s="21" t="s">
        <v>455</v>
      </c>
      <c r="I134" s="21" t="s">
        <v>453</v>
      </c>
      <c r="K134" s="37"/>
      <c r="L134" s="37"/>
    </row>
    <row r="135" spans="1:12" s="20" customFormat="1" x14ac:dyDescent="0.25">
      <c r="A135" s="31" t="s">
        <v>450</v>
      </c>
      <c r="B135" s="32" t="s">
        <v>463</v>
      </c>
      <c r="C135" s="32"/>
      <c r="D135" s="21" t="s">
        <v>308</v>
      </c>
      <c r="E135" s="21" t="s">
        <v>37</v>
      </c>
      <c r="F135" s="21" t="s">
        <v>457</v>
      </c>
      <c r="G135" s="24" t="s">
        <v>40</v>
      </c>
      <c r="H135" s="21" t="s">
        <v>455</v>
      </c>
      <c r="I135" s="21" t="s">
        <v>457</v>
      </c>
      <c r="K135" s="37"/>
      <c r="L135" s="37"/>
    </row>
    <row r="136" spans="1:12" s="20" customFormat="1" x14ac:dyDescent="0.25">
      <c r="A136" s="31" t="s">
        <v>514</v>
      </c>
      <c r="B136" s="32" t="s">
        <v>504</v>
      </c>
      <c r="C136" s="32"/>
      <c r="D136" s="21" t="s">
        <v>308</v>
      </c>
      <c r="E136" s="21" t="s">
        <v>37</v>
      </c>
      <c r="F136" s="21" t="s">
        <v>515</v>
      </c>
      <c r="G136" s="22" t="s">
        <v>38</v>
      </c>
      <c r="H136" s="21" t="s">
        <v>33</v>
      </c>
      <c r="I136" s="21" t="s">
        <v>516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74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"/>
    <protectedRange password="EBC5" sqref="I39:I41" name="範圍1_3_3_1_1_1_2_1_1_2_1_1"/>
    <protectedRange password="EBC5" sqref="I101:I112 I68:I95" name="範圍1_3_3_1_1_1_2_1_1_2_1_1_1_1"/>
    <protectedRange password="EBC5" sqref="I132:I135" name="範圍1_3_3_1_1_1_2_1_1_2_3"/>
    <protectedRange password="EBC5" sqref="I136" name="範圍1_3_3_1_1_1_2_1_1_2_4"/>
  </protectedRanges>
  <mergeCells count="11">
    <mergeCell ref="L75:P75"/>
    <mergeCell ref="A99:C99"/>
    <mergeCell ref="A53:C53"/>
    <mergeCell ref="D141:G141"/>
    <mergeCell ref="A1:C1"/>
    <mergeCell ref="A37:C37"/>
    <mergeCell ref="A66:C66"/>
    <mergeCell ref="L68:P68"/>
    <mergeCell ref="L71:P71"/>
    <mergeCell ref="L74:P74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FF00"/>
  </sheetPr>
  <dimension ref="A1:U142"/>
  <sheetViews>
    <sheetView topLeftCell="A38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8.2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299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268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268</v>
      </c>
      <c r="G30" s="24" t="s">
        <v>40</v>
      </c>
      <c r="H30" s="21" t="s">
        <v>33</v>
      </c>
      <c r="I30" s="21" t="s">
        <v>70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272</v>
      </c>
      <c r="G32" s="22" t="s">
        <v>38</v>
      </c>
      <c r="H32" s="21" t="s">
        <v>33</v>
      </c>
      <c r="I32" s="21" t="s">
        <v>41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272</v>
      </c>
      <c r="G33" s="24" t="s">
        <v>40</v>
      </c>
      <c r="H33" s="21" t="s">
        <v>33</v>
      </c>
      <c r="I33" s="21" t="s">
        <v>125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277</v>
      </c>
      <c r="G34" s="22" t="s">
        <v>38</v>
      </c>
      <c r="H34" s="21" t="s">
        <v>33</v>
      </c>
      <c r="I34" s="21" t="s">
        <v>145</v>
      </c>
      <c r="K34" s="37"/>
      <c r="L34" s="37" t="s">
        <v>383</v>
      </c>
      <c r="M34" s="20" t="str">
        <f>IF(I34="0x13","0.5",IF(I34="0x12","1","2"))</f>
        <v>1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405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0xA2</v>
      </c>
      <c r="J39" s="20" t="str">
        <f>DEC2HEX(MOD(N39,256))</f>
        <v>A2</v>
      </c>
      <c r="K39" s="37" t="str">
        <f>DEC2HEX(N39)</f>
        <v>2E8BA2</v>
      </c>
      <c r="L39" s="78" t="s">
        <v>377</v>
      </c>
      <c r="M39" s="75">
        <f>432*524288/(P70*P73*L75/1000000)</f>
        <v>3050402.9090909092</v>
      </c>
      <c r="N39" s="75">
        <f>(M39*M34)</f>
        <v>3050402.9090909092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0x8B</v>
      </c>
      <c r="J40" s="20" t="str">
        <f>DEC2HEX(MOD((N39-MOD(N39,256))/256,256))</f>
        <v>8B</v>
      </c>
      <c r="K40" s="37"/>
      <c r="L40" s="78" t="s">
        <v>380</v>
      </c>
      <c r="M40" s="75">
        <f>16*524288/(P70*P73)</f>
        <v>2.8244471380471379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0x2E</v>
      </c>
      <c r="J41" s="20" t="str">
        <f>DEC2HEX((N39-MOD(N39,256))/65536)</f>
        <v>2E</v>
      </c>
      <c r="K41" s="37"/>
      <c r="L41" s="78" t="s">
        <v>381</v>
      </c>
      <c r="M41" s="75">
        <f>IF(M40&gt;16,M40*128, M40*256)</f>
        <v>723.0584673400673</v>
      </c>
      <c r="N41" s="75"/>
    </row>
    <row r="42" spans="1:14" s="20" customFormat="1" x14ac:dyDescent="0.25">
      <c r="A42" s="68" t="s">
        <v>224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283</v>
      </c>
      <c r="G42" s="22" t="s">
        <v>38</v>
      </c>
      <c r="H42" s="21" t="s">
        <v>33</v>
      </c>
      <c r="I42" s="21" t="s">
        <v>436</v>
      </c>
      <c r="K42" s="37" t="str">
        <f>DEC2HEX(M41)</f>
        <v>2D3</v>
      </c>
      <c r="L42" s="37"/>
    </row>
    <row r="43" spans="1:14" s="20" customFormat="1" x14ac:dyDescent="0.25">
      <c r="A43" s="68" t="s">
        <v>224</v>
      </c>
      <c r="B43" s="50" t="s">
        <v>239</v>
      </c>
      <c r="C43" s="32"/>
      <c r="D43" s="21" t="s">
        <v>305</v>
      </c>
      <c r="E43" s="21" t="s">
        <v>37</v>
      </c>
      <c r="F43" s="21" t="s">
        <v>283</v>
      </c>
      <c r="G43" s="24" t="s">
        <v>40</v>
      </c>
      <c r="H43" s="21" t="s">
        <v>33</v>
      </c>
      <c r="I43" s="21" t="s">
        <v>131</v>
      </c>
      <c r="K43" s="37"/>
      <c r="L43" s="37"/>
    </row>
    <row r="44" spans="1:14" s="20" customFormat="1" x14ac:dyDescent="0.25">
      <c r="A44" s="68" t="s">
        <v>429</v>
      </c>
      <c r="B44" s="50" t="s">
        <v>435</v>
      </c>
      <c r="C44" s="32"/>
      <c r="D44" s="21" t="s">
        <v>305</v>
      </c>
      <c r="E44" s="21" t="s">
        <v>37</v>
      </c>
      <c r="F44" s="21" t="s">
        <v>431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421</v>
      </c>
      <c r="B45" s="50" t="s">
        <v>423</v>
      </c>
      <c r="C45" s="32"/>
      <c r="D45" s="21" t="s">
        <v>302</v>
      </c>
      <c r="E45" s="21" t="s">
        <v>37</v>
      </c>
      <c r="F45" s="21" t="s">
        <v>414</v>
      </c>
      <c r="G45" s="22" t="s">
        <v>38</v>
      </c>
      <c r="H45" s="21" t="s">
        <v>416</v>
      </c>
      <c r="I45" s="21" t="s">
        <v>428</v>
      </c>
      <c r="K45" s="37"/>
      <c r="L45" s="37"/>
    </row>
    <row r="46" spans="1:14" s="20" customFormat="1" x14ac:dyDescent="0.25">
      <c r="A46" s="68" t="s">
        <v>420</v>
      </c>
      <c r="B46" s="50" t="s">
        <v>419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417</v>
      </c>
      <c r="I46" s="21" t="s">
        <v>427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39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163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232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279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39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349</v>
      </c>
      <c r="K59" s="37"/>
      <c r="L59" s="37"/>
    </row>
    <row r="60" spans="1:12" s="20" customFormat="1" x14ac:dyDescent="0.25">
      <c r="A60" s="31" t="s">
        <v>178</v>
      </c>
      <c r="B60" s="50" t="s">
        <v>354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345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522</v>
      </c>
      <c r="C62" s="32"/>
      <c r="D62" s="21" t="s">
        <v>306</v>
      </c>
      <c r="E62" s="21" t="s">
        <v>37</v>
      </c>
      <c r="F62" s="21" t="s">
        <v>528</v>
      </c>
      <c r="G62" s="22" t="s">
        <v>38</v>
      </c>
      <c r="H62" s="21" t="s">
        <v>131</v>
      </c>
      <c r="I62" s="21" t="str">
        <f>IF(L77="NEG","0x01","0x00")</f>
        <v>0x00</v>
      </c>
      <c r="K62" s="37"/>
      <c r="L62" s="37"/>
    </row>
    <row r="63" spans="1:12" s="20" customFormat="1" x14ac:dyDescent="0.25">
      <c r="A63" s="68"/>
      <c r="B63" s="50" t="s">
        <v>525</v>
      </c>
      <c r="C63" s="32"/>
      <c r="D63" s="21" t="s">
        <v>306</v>
      </c>
      <c r="E63" s="21" t="s">
        <v>37</v>
      </c>
      <c r="F63" s="21" t="s">
        <v>528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0x4F</v>
      </c>
      <c r="J68" s="20" t="str">
        <f>DEC2HEX(MOD(K68,256))</f>
        <v>4F</v>
      </c>
      <c r="K68" s="37">
        <f>P70-1</f>
        <v>2639</v>
      </c>
      <c r="L68" s="85" t="s">
        <v>324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0xA</v>
      </c>
      <c r="J69" s="20" t="str">
        <f>DEC2HEX((K68-MOD(K68,256))/256)</f>
        <v>A</v>
      </c>
      <c r="K69" s="37"/>
      <c r="L69" s="71" t="s">
        <v>325</v>
      </c>
      <c r="M69" s="71" t="s">
        <v>326</v>
      </c>
      <c r="N69" s="71" t="s">
        <v>327</v>
      </c>
      <c r="O69" s="71" t="s">
        <v>316</v>
      </c>
      <c r="P69" s="71" t="s">
        <v>317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0x64</v>
      </c>
      <c r="J70" s="20" t="str">
        <f>DEC2HEX(MOD(K70,256))</f>
        <v>64</v>
      </c>
      <c r="K70" s="37">
        <f>P73-1</f>
        <v>1124</v>
      </c>
      <c r="L70" s="72">
        <v>44</v>
      </c>
      <c r="M70" s="72">
        <v>148</v>
      </c>
      <c r="N70" s="72">
        <v>1920</v>
      </c>
      <c r="O70" s="72">
        <f>P70-N70-M70-L70</f>
        <v>528</v>
      </c>
      <c r="P70" s="72">
        <v>2640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145</v>
      </c>
      <c r="G71" s="24" t="s">
        <v>40</v>
      </c>
      <c r="H71" s="21" t="s">
        <v>33</v>
      </c>
      <c r="I71" s="21" t="str">
        <f t="shared" si="0"/>
        <v>0x04</v>
      </c>
      <c r="J71" s="20" t="str">
        <f>DEC2HEX((K70-MOD(K70,256))/256)</f>
        <v>4</v>
      </c>
      <c r="K71" s="37"/>
      <c r="L71" s="85" t="s">
        <v>328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135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329</v>
      </c>
      <c r="M72" s="71" t="s">
        <v>326</v>
      </c>
      <c r="N72" s="71" t="s">
        <v>327</v>
      </c>
      <c r="O72" s="71" t="s">
        <v>316</v>
      </c>
      <c r="P72" s="71" t="s">
        <v>330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5</v>
      </c>
      <c r="M73" s="72">
        <v>36</v>
      </c>
      <c r="N73" s="72">
        <v>1080</v>
      </c>
      <c r="O73" s="72">
        <f>P73-N73-M73-L73</f>
        <v>4</v>
      </c>
      <c r="P73" s="72">
        <v>1125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71</v>
      </c>
      <c r="G74" s="22" t="s">
        <v>38</v>
      </c>
      <c r="H74" s="21" t="s">
        <v>33</v>
      </c>
      <c r="I74" s="21" t="str">
        <f t="shared" si="0"/>
        <v>0x2B</v>
      </c>
      <c r="J74" s="20" t="str">
        <f>DEC2HEX(MOD(K74,256))</f>
        <v>2B</v>
      </c>
      <c r="K74" s="37">
        <f>L70-1</f>
        <v>43</v>
      </c>
      <c r="L74" s="85" t="s">
        <v>331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25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534</v>
      </c>
      <c r="M76" s="80" t="s">
        <v>536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540</v>
      </c>
      <c r="M77" s="72" t="s">
        <v>540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0x04</v>
      </c>
      <c r="J78" s="20" t="str">
        <f>DEC2HEX(MOD(K78,256))</f>
        <v>4</v>
      </c>
      <c r="K78" s="37">
        <f>L73-1</f>
        <v>4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54</v>
      </c>
      <c r="G80" s="22" t="s">
        <v>38</v>
      </c>
      <c r="H80" s="21" t="s">
        <v>33</v>
      </c>
      <c r="I80" s="21" t="str">
        <f t="shared" si="0"/>
        <v>0xC0</v>
      </c>
      <c r="J80" s="20" t="str">
        <f>DEC2HEX(MOD(K80,256))</f>
        <v>C0</v>
      </c>
      <c r="K80" s="37">
        <f>L70+M70</f>
        <v>192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54</v>
      </c>
      <c r="G81" s="24" t="s">
        <v>40</v>
      </c>
      <c r="H81" s="21" t="s">
        <v>33</v>
      </c>
      <c r="I81" s="21" t="str">
        <f t="shared" si="0"/>
        <v>0x00</v>
      </c>
      <c r="J81" s="20" t="str">
        <f>DEC2HEX((K80-MOD(K80,256))/256)</f>
        <v>0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0x3F</v>
      </c>
      <c r="J82" s="20" t="str">
        <f>DEC2HEX(MOD(K82,256))</f>
        <v>3F</v>
      </c>
      <c r="K82" s="37">
        <f>L70+M70+N70-1</f>
        <v>2111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0x08</v>
      </c>
      <c r="J83" s="20" t="str">
        <f>DEC2HEX((K82-MOD(K82,256))/256)</f>
        <v>8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0x29</v>
      </c>
      <c r="J84" s="20" t="str">
        <f>DEC2HEX(MOD(K84,256))</f>
        <v>29</v>
      </c>
      <c r="K84" s="37">
        <f>L73+M73</f>
        <v>41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149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283</v>
      </c>
      <c r="G86" s="22" t="s">
        <v>38</v>
      </c>
      <c r="H86" s="21" t="s">
        <v>33</v>
      </c>
      <c r="I86" s="21" t="str">
        <f t="shared" si="0"/>
        <v>0x60</v>
      </c>
      <c r="J86" s="20" t="str">
        <f>DEC2HEX(MOD(K86,256))</f>
        <v>60</v>
      </c>
      <c r="K86" s="37">
        <f>L73+M73+N73-1</f>
        <v>1120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283</v>
      </c>
      <c r="G87" s="24" t="s">
        <v>40</v>
      </c>
      <c r="H87" s="21" t="s">
        <v>33</v>
      </c>
      <c r="I87" s="21" t="str">
        <f t="shared" si="0"/>
        <v>0x04</v>
      </c>
      <c r="J87" s="20" t="str">
        <f>DEC2HEX((K86-MOD(K86,256))/256)</f>
        <v>4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272</v>
      </c>
      <c r="G88" s="22" t="s">
        <v>38</v>
      </c>
      <c r="H88" s="21" t="s">
        <v>33</v>
      </c>
      <c r="I88" s="21" t="str">
        <f t="shared" si="0"/>
        <v>0xC0</v>
      </c>
      <c r="J88" s="20" t="str">
        <f>DEC2HEX(MOD(K88,256))</f>
        <v>C0</v>
      </c>
      <c r="K88" s="37">
        <f>L70+M70</f>
        <v>192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272</v>
      </c>
      <c r="G89" s="24" t="s">
        <v>40</v>
      </c>
      <c r="H89" s="21" t="s">
        <v>33</v>
      </c>
      <c r="I89" s="21" t="str">
        <f t="shared" si="0"/>
        <v>0x00</v>
      </c>
      <c r="J89" s="20" t="str">
        <f>DEC2HEX((K88-MOD(K88,256))/256)</f>
        <v>0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0x3F</v>
      </c>
      <c r="J90" s="20" t="str">
        <f>DEC2HEX(MOD(K90,256))</f>
        <v>3F</v>
      </c>
      <c r="K90" s="37">
        <f>L70+M70+N70-1</f>
        <v>2111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0x08</v>
      </c>
      <c r="J91" s="20" t="str">
        <f>DEC2HEX((K90-MOD(K90,256))/256)</f>
        <v>8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0x29</v>
      </c>
      <c r="J92" s="20" t="str">
        <f>DEC2HEX(MOD(K92,256))</f>
        <v>29</v>
      </c>
      <c r="K92" s="37">
        <f>L73+M73</f>
        <v>41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287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279</v>
      </c>
      <c r="G94" s="22" t="s">
        <v>38</v>
      </c>
      <c r="H94" s="21" t="s">
        <v>33</v>
      </c>
      <c r="I94" s="21" t="str">
        <f t="shared" si="0"/>
        <v>0x60</v>
      </c>
      <c r="J94" s="20" t="str">
        <f>DEC2HEX(MOD(K94,256))</f>
        <v>60</v>
      </c>
      <c r="K94" s="37">
        <f>L73+M73+N73-1</f>
        <v>1120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279</v>
      </c>
      <c r="G95" s="24" t="s">
        <v>40</v>
      </c>
      <c r="H95" s="21" t="s">
        <v>33</v>
      </c>
      <c r="I95" s="21" t="str">
        <f t="shared" si="0"/>
        <v>0x04</v>
      </c>
      <c r="J95" s="20" t="str">
        <f>DEC2HEX((K94-MOD(K94,256))/256)</f>
        <v>4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364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203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0x2B</v>
      </c>
      <c r="J103" s="20" t="str">
        <f>DEC2HEX(MOD(K103,256))</f>
        <v>2B</v>
      </c>
      <c r="K103" s="37">
        <f>L70-1</f>
        <v>43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0xC0</v>
      </c>
      <c r="J105" s="20" t="str">
        <f>DEC2HEX(MOD(K105,256))</f>
        <v>C0</v>
      </c>
      <c r="K105" s="37">
        <f>L70+M70</f>
        <v>192</v>
      </c>
      <c r="L105" s="37"/>
    </row>
    <row r="106" spans="1:12" s="20" customFormat="1" x14ac:dyDescent="0.25">
      <c r="A106" s="68" t="s">
        <v>184</v>
      </c>
      <c r="B106" s="32" t="s">
        <v>210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0x00</v>
      </c>
      <c r="J106" s="20" t="str">
        <f>DEC2HEX((K105-MOD(K105,256))/256)</f>
        <v>0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0x3F</v>
      </c>
      <c r="J107" s="20" t="str">
        <f>DEC2HEX(MOD(K107,256))</f>
        <v>3F</v>
      </c>
      <c r="K107" s="37">
        <f>L70+M70+N70-1</f>
        <v>2111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0x08</v>
      </c>
      <c r="J108" s="20" t="str">
        <f>DEC2HEX((K107-MOD(K107,256))/256)</f>
        <v>8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0x29</v>
      </c>
      <c r="J109" s="20" t="str">
        <f>DEC2HEX(MOD(K109,256))</f>
        <v>29</v>
      </c>
      <c r="K109" s="37">
        <f>L73+M73</f>
        <v>41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293</v>
      </c>
      <c r="G111" s="22" t="s">
        <v>38</v>
      </c>
      <c r="H111" s="21" t="s">
        <v>33</v>
      </c>
      <c r="I111" s="21" t="str">
        <f t="shared" si="1"/>
        <v>0x60</v>
      </c>
      <c r="J111" s="20" t="str">
        <f>DEC2HEX(MOD(K111,256))</f>
        <v>60</v>
      </c>
      <c r="K111" s="37">
        <f>L73+M73+N73-1</f>
        <v>1120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293</v>
      </c>
      <c r="G112" s="24" t="s">
        <v>40</v>
      </c>
      <c r="H112" s="21" t="s">
        <v>33</v>
      </c>
      <c r="I112" s="21" t="str">
        <f t="shared" si="1"/>
        <v>0x04</v>
      </c>
      <c r="J112" s="20" t="str">
        <f>DEC2HEX((K111-MOD(K111,256))/256)</f>
        <v>4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373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517</v>
      </c>
      <c r="C119" s="32" t="s">
        <v>521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411</v>
      </c>
      <c r="B122" s="50" t="s">
        <v>360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351</v>
      </c>
      <c r="I122" s="21" t="s">
        <v>41</v>
      </c>
      <c r="K122" s="37"/>
      <c r="L122" s="37"/>
    </row>
    <row r="123" spans="1:12" s="20" customFormat="1" x14ac:dyDescent="0.25">
      <c r="A123" s="68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385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386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309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386</v>
      </c>
      <c r="C125" s="32" t="s">
        <v>223</v>
      </c>
      <c r="D125" s="21" t="s">
        <v>305</v>
      </c>
      <c r="E125" s="21" t="s">
        <v>37</v>
      </c>
      <c r="F125" s="21" t="s">
        <v>39</v>
      </c>
      <c r="G125" s="24" t="s">
        <v>309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393</v>
      </c>
      <c r="C126" s="32" t="s">
        <v>223</v>
      </c>
      <c r="D126" s="21" t="s">
        <v>305</v>
      </c>
      <c r="E126" s="21" t="s">
        <v>37</v>
      </c>
      <c r="F126" s="21" t="s">
        <v>397</v>
      </c>
      <c r="G126" s="22" t="s">
        <v>38</v>
      </c>
      <c r="H126" s="21" t="s">
        <v>399</v>
      </c>
      <c r="I126" s="21" t="s">
        <v>402</v>
      </c>
      <c r="K126" s="37"/>
      <c r="L126" s="37"/>
    </row>
    <row r="127" spans="1:12" s="20" customFormat="1" x14ac:dyDescent="0.25">
      <c r="A127" s="31" t="s">
        <v>184</v>
      </c>
      <c r="B127" s="50" t="s">
        <v>393</v>
      </c>
      <c r="C127" s="32" t="s">
        <v>223</v>
      </c>
      <c r="D127" s="21" t="s">
        <v>305</v>
      </c>
      <c r="E127" s="21" t="s">
        <v>37</v>
      </c>
      <c r="F127" s="21" t="s">
        <v>397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311</v>
      </c>
      <c r="K128" s="37"/>
      <c r="L128" s="37"/>
    </row>
    <row r="129" spans="1:12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311</v>
      </c>
      <c r="K129" s="37"/>
      <c r="L129" s="37"/>
    </row>
    <row r="130" spans="1:12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311</v>
      </c>
      <c r="K130" s="37"/>
      <c r="L130" s="37"/>
    </row>
    <row r="131" spans="1:12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311</v>
      </c>
      <c r="K131" s="37"/>
      <c r="L131" s="37"/>
    </row>
    <row r="132" spans="1:12" s="20" customFormat="1" x14ac:dyDescent="0.25">
      <c r="A132" s="31" t="s">
        <v>450</v>
      </c>
      <c r="B132" s="32" t="s">
        <v>452</v>
      </c>
      <c r="C132" s="32"/>
      <c r="D132" s="21" t="s">
        <v>308</v>
      </c>
      <c r="E132" s="21" t="s">
        <v>37</v>
      </c>
      <c r="F132" s="21" t="s">
        <v>453</v>
      </c>
      <c r="G132" s="22" t="s">
        <v>38</v>
      </c>
      <c r="H132" s="21" t="s">
        <v>486</v>
      </c>
      <c r="I132" s="21" t="s">
        <v>457</v>
      </c>
      <c r="K132" s="37"/>
      <c r="L132" s="37"/>
    </row>
    <row r="133" spans="1:12" s="20" customFormat="1" x14ac:dyDescent="0.25">
      <c r="A133" s="31" t="s">
        <v>450</v>
      </c>
      <c r="B133" s="32" t="s">
        <v>465</v>
      </c>
      <c r="C133" s="32"/>
      <c r="D133" s="21" t="s">
        <v>308</v>
      </c>
      <c r="E133" s="21" t="s">
        <v>37</v>
      </c>
      <c r="F133" s="21" t="s">
        <v>453</v>
      </c>
      <c r="G133" s="24" t="s">
        <v>499</v>
      </c>
      <c r="H133" s="21" t="s">
        <v>500</v>
      </c>
      <c r="I133" s="21" t="s">
        <v>466</v>
      </c>
      <c r="K133" s="37"/>
      <c r="L133" s="37"/>
    </row>
    <row r="134" spans="1:12" s="20" customFormat="1" x14ac:dyDescent="0.25">
      <c r="A134" s="31" t="s">
        <v>501</v>
      </c>
      <c r="B134" s="32" t="s">
        <v>467</v>
      </c>
      <c r="C134" s="32"/>
      <c r="D134" s="21" t="s">
        <v>308</v>
      </c>
      <c r="E134" s="21" t="s">
        <v>37</v>
      </c>
      <c r="F134" s="21" t="s">
        <v>502</v>
      </c>
      <c r="G134" s="22" t="s">
        <v>38</v>
      </c>
      <c r="H134" s="21" t="s">
        <v>455</v>
      </c>
      <c r="I134" s="21" t="s">
        <v>453</v>
      </c>
      <c r="K134" s="37"/>
      <c r="L134" s="37"/>
    </row>
    <row r="135" spans="1:12" s="20" customFormat="1" x14ac:dyDescent="0.25">
      <c r="A135" s="31" t="s">
        <v>501</v>
      </c>
      <c r="B135" s="32" t="s">
        <v>463</v>
      </c>
      <c r="C135" s="32"/>
      <c r="D135" s="21" t="s">
        <v>308</v>
      </c>
      <c r="E135" s="21" t="s">
        <v>37</v>
      </c>
      <c r="F135" s="21" t="s">
        <v>457</v>
      </c>
      <c r="G135" s="24" t="s">
        <v>495</v>
      </c>
      <c r="H135" s="21" t="s">
        <v>455</v>
      </c>
      <c r="I135" s="21" t="s">
        <v>457</v>
      </c>
      <c r="K135" s="37"/>
      <c r="L135" s="37"/>
    </row>
    <row r="136" spans="1:12" s="20" customFormat="1" x14ac:dyDescent="0.25">
      <c r="A136" s="31" t="s">
        <v>450</v>
      </c>
      <c r="B136" s="32" t="s">
        <v>504</v>
      </c>
      <c r="C136" s="32"/>
      <c r="D136" s="21" t="s">
        <v>308</v>
      </c>
      <c r="E136" s="21" t="s">
        <v>37</v>
      </c>
      <c r="F136" s="21" t="s">
        <v>505</v>
      </c>
      <c r="G136" s="22" t="s">
        <v>38</v>
      </c>
      <c r="H136" s="21" t="s">
        <v>33</v>
      </c>
      <c r="I136" s="21" t="s">
        <v>283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74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"/>
    <protectedRange password="EBC5" sqref="I39:I41" name="範圍1_3_3_1_1_1_2_1_1_2_1_1"/>
    <protectedRange password="EBC5" sqref="I101:I112 I68:I95" name="範圍1_3_3_1_1_1_2_1_1_2_1_1_1_1"/>
    <protectedRange password="EBC5" sqref="I132:I135" name="範圍1_3_3_1_1_1_2_1_1_2_3"/>
    <protectedRange password="EBC5" sqref="I136" name="範圍1_3_3_1_1_1_2_1_1_2_4"/>
  </protectedRanges>
  <mergeCells count="11">
    <mergeCell ref="L75:P75"/>
    <mergeCell ref="A99:C99"/>
    <mergeCell ref="A53:C53"/>
    <mergeCell ref="D141:G141"/>
    <mergeCell ref="A1:C1"/>
    <mergeCell ref="A37:C37"/>
    <mergeCell ref="A66:C66"/>
    <mergeCell ref="L68:P68"/>
    <mergeCell ref="L71:P71"/>
    <mergeCell ref="L74:P74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U142"/>
  <sheetViews>
    <sheetView topLeftCell="A35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8.2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299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269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268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274</v>
      </c>
      <c r="G32" s="22" t="s">
        <v>38</v>
      </c>
      <c r="H32" s="21" t="s">
        <v>33</v>
      </c>
      <c r="I32" s="21" t="s">
        <v>243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275</v>
      </c>
      <c r="G33" s="24" t="s">
        <v>40</v>
      </c>
      <c r="H33" s="21" t="s">
        <v>33</v>
      </c>
      <c r="I33" s="21" t="s">
        <v>242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278</v>
      </c>
      <c r="G34" s="22" t="s">
        <v>38</v>
      </c>
      <c r="H34" s="21" t="s">
        <v>33</v>
      </c>
      <c r="I34" s="21" t="s">
        <v>244</v>
      </c>
      <c r="K34" s="37"/>
      <c r="L34" s="37" t="s">
        <v>383</v>
      </c>
      <c r="M34" s="20" t="str">
        <f>IF(I34="0x13","0.5",IF(I34="0x12","1","2"))</f>
        <v>1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407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0xA2</v>
      </c>
      <c r="J39" s="20" t="str">
        <f>DEC2HEX(MOD(N39,256))</f>
        <v>A2</v>
      </c>
      <c r="K39" s="37" t="str">
        <f>DEC2HEX(N39)</f>
        <v>2E8BA2</v>
      </c>
      <c r="L39" s="78" t="s">
        <v>376</v>
      </c>
      <c r="M39" s="75">
        <f>432*524288/(P70*P73*L75/1000000)</f>
        <v>3050402.9090909092</v>
      </c>
      <c r="N39" s="75">
        <f>(M39*M34)</f>
        <v>3050402.9090909092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0x8B</v>
      </c>
      <c r="J40" s="20" t="str">
        <f>DEC2HEX(MOD((N39-MOD(N39,256))/256,256))</f>
        <v>8B</v>
      </c>
      <c r="K40" s="37"/>
      <c r="L40" s="78" t="s">
        <v>380</v>
      </c>
      <c r="M40" s="75">
        <f>16*524288/(P70*P73)</f>
        <v>3.3893365656565657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0x2E</v>
      </c>
      <c r="J41" s="20" t="str">
        <f>DEC2HEX((N39-MOD(N39,256))/65536)</f>
        <v>2E</v>
      </c>
      <c r="K41" s="37"/>
      <c r="L41" s="78" t="s">
        <v>381</v>
      </c>
      <c r="M41" s="75">
        <f>IF(M40&gt;16,M40*128, M40*256)</f>
        <v>867.67016080808082</v>
      </c>
      <c r="N41" s="75"/>
    </row>
    <row r="42" spans="1:14" s="20" customFormat="1" x14ac:dyDescent="0.25">
      <c r="A42" s="68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284</v>
      </c>
      <c r="G42" s="22" t="s">
        <v>38</v>
      </c>
      <c r="H42" s="21" t="s">
        <v>33</v>
      </c>
      <c r="I42" s="21" t="s">
        <v>446</v>
      </c>
      <c r="K42" s="37" t="str">
        <f>DEC2HEX(M41)</f>
        <v>363</v>
      </c>
      <c r="L42" s="37"/>
    </row>
    <row r="43" spans="1:14" s="20" customFormat="1" x14ac:dyDescent="0.25">
      <c r="A43" s="68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284</v>
      </c>
      <c r="G43" s="24" t="s">
        <v>40</v>
      </c>
      <c r="H43" s="21" t="s">
        <v>33</v>
      </c>
      <c r="I43" s="21" t="s">
        <v>131</v>
      </c>
      <c r="K43" s="37"/>
      <c r="L43" s="37"/>
    </row>
    <row r="44" spans="1:14" s="20" customFormat="1" x14ac:dyDescent="0.25">
      <c r="A44" s="68" t="s">
        <v>429</v>
      </c>
      <c r="B44" s="50" t="s">
        <v>435</v>
      </c>
      <c r="C44" s="32"/>
      <c r="D44" s="21" t="s">
        <v>305</v>
      </c>
      <c r="E44" s="21" t="s">
        <v>37</v>
      </c>
      <c r="F44" s="21" t="s">
        <v>432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421</v>
      </c>
      <c r="B45" s="50" t="s">
        <v>423</v>
      </c>
      <c r="C45" s="32"/>
      <c r="D45" s="21" t="s">
        <v>302</v>
      </c>
      <c r="E45" s="21" t="s">
        <v>37</v>
      </c>
      <c r="F45" s="21" t="s">
        <v>414</v>
      </c>
      <c r="G45" s="22" t="s">
        <v>38</v>
      </c>
      <c r="H45" s="21" t="s">
        <v>417</v>
      </c>
      <c r="I45" s="21" t="s">
        <v>428</v>
      </c>
      <c r="K45" s="37"/>
      <c r="L45" s="37"/>
    </row>
    <row r="46" spans="1:14" s="20" customFormat="1" x14ac:dyDescent="0.25">
      <c r="A46" s="68" t="s">
        <v>420</v>
      </c>
      <c r="B46" s="50" t="s">
        <v>419</v>
      </c>
      <c r="C46" s="32"/>
      <c r="D46" s="21" t="s">
        <v>302</v>
      </c>
      <c r="E46" s="21" t="s">
        <v>37</v>
      </c>
      <c r="F46" s="21" t="s">
        <v>414</v>
      </c>
      <c r="G46" s="24" t="s">
        <v>40</v>
      </c>
      <c r="H46" s="21" t="s">
        <v>417</v>
      </c>
      <c r="I46" s="21" t="s">
        <v>426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53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163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280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53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349</v>
      </c>
      <c r="K59" s="37"/>
      <c r="L59" s="37"/>
    </row>
    <row r="60" spans="1:12" s="20" customFormat="1" x14ac:dyDescent="0.25">
      <c r="A60" s="31" t="s">
        <v>178</v>
      </c>
      <c r="B60" s="50" t="s">
        <v>354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345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524</v>
      </c>
      <c r="C62" s="32"/>
      <c r="D62" s="21" t="s">
        <v>306</v>
      </c>
      <c r="E62" s="21" t="s">
        <v>37</v>
      </c>
      <c r="F62" s="21" t="s">
        <v>528</v>
      </c>
      <c r="G62" s="22" t="s">
        <v>38</v>
      </c>
      <c r="H62" s="21" t="s">
        <v>131</v>
      </c>
      <c r="I62" s="21" t="str">
        <f>IF(L77="NEG","0x01","0x00")</f>
        <v>0x00</v>
      </c>
      <c r="K62" s="37"/>
      <c r="L62" s="37"/>
    </row>
    <row r="63" spans="1:12" s="20" customFormat="1" x14ac:dyDescent="0.25">
      <c r="A63" s="68"/>
      <c r="B63" s="50" t="s">
        <v>525</v>
      </c>
      <c r="C63" s="32"/>
      <c r="D63" s="21" t="s">
        <v>306</v>
      </c>
      <c r="E63" s="21" t="s">
        <v>37</v>
      </c>
      <c r="F63" s="21" t="s">
        <v>528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0x97</v>
      </c>
      <c r="J68" s="20" t="str">
        <f>DEC2HEX(MOD(K68,256))</f>
        <v>97</v>
      </c>
      <c r="K68" s="37">
        <f>P70-1</f>
        <v>2199</v>
      </c>
      <c r="L68" s="85" t="s">
        <v>324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0x08</v>
      </c>
      <c r="J69" s="20" t="str">
        <f>DEC2HEX((K68-MOD(K68,256))/256)</f>
        <v>8</v>
      </c>
      <c r="K69" s="37"/>
      <c r="L69" s="71" t="s">
        <v>325</v>
      </c>
      <c r="M69" s="71" t="s">
        <v>326</v>
      </c>
      <c r="N69" s="71" t="s">
        <v>327</v>
      </c>
      <c r="O69" s="71" t="s">
        <v>316</v>
      </c>
      <c r="P69" s="71" t="s">
        <v>317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0x64</v>
      </c>
      <c r="J70" s="20" t="str">
        <f>DEC2HEX(MOD(K70,256))</f>
        <v>64</v>
      </c>
      <c r="K70" s="37">
        <f>P73-1</f>
        <v>1124</v>
      </c>
      <c r="L70" s="72">
        <v>44</v>
      </c>
      <c r="M70" s="72">
        <v>148</v>
      </c>
      <c r="N70" s="72">
        <v>1920</v>
      </c>
      <c r="O70" s="72">
        <f>P70-N70-M70-L70</f>
        <v>88</v>
      </c>
      <c r="P70" s="72">
        <v>2200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0x04</v>
      </c>
      <c r="J71" s="20" t="str">
        <f>DEC2HEX((K70-MOD(K70,256))/256)</f>
        <v>4</v>
      </c>
      <c r="K71" s="37"/>
      <c r="L71" s="85" t="s">
        <v>328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329</v>
      </c>
      <c r="M72" s="71" t="s">
        <v>326</v>
      </c>
      <c r="N72" s="71" t="s">
        <v>327</v>
      </c>
      <c r="O72" s="71" t="s">
        <v>316</v>
      </c>
      <c r="P72" s="71" t="s">
        <v>330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5</v>
      </c>
      <c r="M73" s="72">
        <v>36</v>
      </c>
      <c r="N73" s="72">
        <v>1080</v>
      </c>
      <c r="O73" s="72">
        <f>P73-N73-M73-L73</f>
        <v>4</v>
      </c>
      <c r="P73" s="72">
        <v>1125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0x2B</v>
      </c>
      <c r="J74" s="20" t="str">
        <f>DEC2HEX(MOD(K74,256))</f>
        <v>2B</v>
      </c>
      <c r="K74" s="37">
        <f>L70-1</f>
        <v>43</v>
      </c>
      <c r="L74" s="85" t="s">
        <v>331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30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535</v>
      </c>
      <c r="M76" s="80" t="s">
        <v>537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540</v>
      </c>
      <c r="M77" s="72" t="s">
        <v>541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0x04</v>
      </c>
      <c r="J78" s="20" t="str">
        <f>DEC2HEX(MOD(K78,256))</f>
        <v>4</v>
      </c>
      <c r="K78" s="37">
        <f>L73-1</f>
        <v>4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0xC0</v>
      </c>
      <c r="J80" s="20" t="str">
        <f>DEC2HEX(MOD(K80,256))</f>
        <v>C0</v>
      </c>
      <c r="K80" s="37">
        <f>L70+M70</f>
        <v>192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0x00</v>
      </c>
      <c r="J81" s="20" t="str">
        <f>DEC2HEX((K80-MOD(K80,256))/256)</f>
        <v>0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0x3F</v>
      </c>
      <c r="J82" s="20" t="str">
        <f>DEC2HEX(MOD(K82,256))</f>
        <v>3F</v>
      </c>
      <c r="K82" s="37">
        <f>L70+M70+N70-1</f>
        <v>2111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0x08</v>
      </c>
      <c r="J83" s="20" t="str">
        <f>DEC2HEX((K82-MOD(K82,256))/256)</f>
        <v>8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0x29</v>
      </c>
      <c r="J84" s="20" t="str">
        <f>DEC2HEX(MOD(K84,256))</f>
        <v>29</v>
      </c>
      <c r="K84" s="37">
        <f>L73+M73</f>
        <v>41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284</v>
      </c>
      <c r="G86" s="22" t="s">
        <v>38</v>
      </c>
      <c r="H86" s="21" t="s">
        <v>33</v>
      </c>
      <c r="I86" s="21" t="str">
        <f t="shared" si="0"/>
        <v>0x60</v>
      </c>
      <c r="J86" s="20" t="str">
        <f>DEC2HEX(MOD(K86,256))</f>
        <v>60</v>
      </c>
      <c r="K86" s="37">
        <f>L73+M73+N73-1</f>
        <v>1120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284</v>
      </c>
      <c r="G87" s="24" t="s">
        <v>40</v>
      </c>
      <c r="H87" s="21" t="s">
        <v>33</v>
      </c>
      <c r="I87" s="21" t="str">
        <f t="shared" si="0"/>
        <v>0x04</v>
      </c>
      <c r="J87" s="20" t="str">
        <f>DEC2HEX((K86-MOD(K86,256))/256)</f>
        <v>4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275</v>
      </c>
      <c r="G88" s="22" t="s">
        <v>38</v>
      </c>
      <c r="H88" s="21" t="s">
        <v>33</v>
      </c>
      <c r="I88" s="21" t="str">
        <f t="shared" si="0"/>
        <v>0xC0</v>
      </c>
      <c r="J88" s="20" t="str">
        <f>DEC2HEX(MOD(K88,256))</f>
        <v>C0</v>
      </c>
      <c r="K88" s="37">
        <f>L70+M70</f>
        <v>192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275</v>
      </c>
      <c r="G89" s="24" t="s">
        <v>40</v>
      </c>
      <c r="H89" s="21" t="s">
        <v>33</v>
      </c>
      <c r="I89" s="21" t="str">
        <f t="shared" si="0"/>
        <v>0x00</v>
      </c>
      <c r="J89" s="20" t="str">
        <f>DEC2HEX((K88-MOD(K88,256))/256)</f>
        <v>0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0x3F</v>
      </c>
      <c r="J90" s="20" t="str">
        <f>DEC2HEX(MOD(K90,256))</f>
        <v>3F</v>
      </c>
      <c r="K90" s="37">
        <f>L70+M70+N70-1</f>
        <v>2111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0x08</v>
      </c>
      <c r="J91" s="20" t="str">
        <f>DEC2HEX((K90-MOD(K90,256))/256)</f>
        <v>8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290</v>
      </c>
      <c r="G92" s="22" t="s">
        <v>38</v>
      </c>
      <c r="H92" s="21" t="s">
        <v>33</v>
      </c>
      <c r="I92" s="21" t="str">
        <f t="shared" si="0"/>
        <v>0x29</v>
      </c>
      <c r="J92" s="20" t="str">
        <f>DEC2HEX(MOD(K92,256))</f>
        <v>29</v>
      </c>
      <c r="K92" s="37">
        <f>L73+M73</f>
        <v>41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287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280</v>
      </c>
      <c r="G94" s="22" t="s">
        <v>38</v>
      </c>
      <c r="H94" s="21" t="s">
        <v>33</v>
      </c>
      <c r="I94" s="21" t="str">
        <f t="shared" si="0"/>
        <v>0x60</v>
      </c>
      <c r="J94" s="20" t="str">
        <f>DEC2HEX(MOD(K94,256))</f>
        <v>60</v>
      </c>
      <c r="K94" s="37">
        <f>L73+M73+N73-1</f>
        <v>1120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280</v>
      </c>
      <c r="G95" s="24" t="s">
        <v>40</v>
      </c>
      <c r="H95" s="21" t="s">
        <v>33</v>
      </c>
      <c r="I95" s="21" t="str">
        <f t="shared" si="0"/>
        <v>0x04</v>
      </c>
      <c r="J95" s="20" t="str">
        <f>DEC2HEX((K94-MOD(K94,256))/256)</f>
        <v>4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364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0x2B</v>
      </c>
      <c r="J103" s="20" t="str">
        <f>DEC2HEX(MOD(K103,256))</f>
        <v>2B</v>
      </c>
      <c r="K103" s="37">
        <f>L70-1</f>
        <v>43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0xC0</v>
      </c>
      <c r="J105" s="20" t="str">
        <f>DEC2HEX(MOD(K105,256))</f>
        <v>C0</v>
      </c>
      <c r="K105" s="37">
        <f>L70+M70</f>
        <v>192</v>
      </c>
      <c r="L105" s="37"/>
    </row>
    <row r="106" spans="1:12" s="20" customFormat="1" x14ac:dyDescent="0.25">
      <c r="A106" s="68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0x00</v>
      </c>
      <c r="J106" s="20" t="str">
        <f>DEC2HEX((K105-MOD(K105,256))/256)</f>
        <v>0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0x3F</v>
      </c>
      <c r="J107" s="20" t="str">
        <f>DEC2HEX(MOD(K107,256))</f>
        <v>3F</v>
      </c>
      <c r="K107" s="37">
        <f>L70+M70+N70-1</f>
        <v>2111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0x08</v>
      </c>
      <c r="J108" s="20" t="str">
        <f>DEC2HEX((K107-MOD(K107,256))/256)</f>
        <v>8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0x29</v>
      </c>
      <c r="J109" s="20" t="str">
        <f>DEC2HEX(MOD(K109,256))</f>
        <v>29</v>
      </c>
      <c r="K109" s="37">
        <f>L73+M73</f>
        <v>41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294</v>
      </c>
      <c r="G111" s="22" t="s">
        <v>38</v>
      </c>
      <c r="H111" s="21" t="s">
        <v>33</v>
      </c>
      <c r="I111" s="21" t="str">
        <f t="shared" si="1"/>
        <v>0x60</v>
      </c>
      <c r="J111" s="20" t="str">
        <f>DEC2HEX(MOD(K111,256))</f>
        <v>60</v>
      </c>
      <c r="K111" s="37">
        <f>L73+M73+N73-1</f>
        <v>1120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295</v>
      </c>
      <c r="G112" s="24" t="s">
        <v>40</v>
      </c>
      <c r="H112" s="21" t="s">
        <v>33</v>
      </c>
      <c r="I112" s="21" t="str">
        <f t="shared" si="1"/>
        <v>0x04</v>
      </c>
      <c r="J112" s="20" t="str">
        <f>DEC2HEX((K111-MOD(K111,256))/256)</f>
        <v>4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517</v>
      </c>
      <c r="C119" s="32" t="s">
        <v>519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411</v>
      </c>
      <c r="B122" s="50" t="s">
        <v>360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351</v>
      </c>
      <c r="I122" s="21" t="s">
        <v>41</v>
      </c>
      <c r="K122" s="37"/>
      <c r="L122" s="37"/>
    </row>
    <row r="123" spans="1:12" s="20" customFormat="1" x14ac:dyDescent="0.25">
      <c r="A123" s="68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385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391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309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391</v>
      </c>
      <c r="C125" s="32" t="s">
        <v>223</v>
      </c>
      <c r="D125" s="21" t="s">
        <v>305</v>
      </c>
      <c r="E125" s="21" t="s">
        <v>37</v>
      </c>
      <c r="F125" s="21" t="s">
        <v>53</v>
      </c>
      <c r="G125" s="24" t="s">
        <v>309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394</v>
      </c>
      <c r="C126" s="32" t="s">
        <v>223</v>
      </c>
      <c r="D126" s="21" t="s">
        <v>305</v>
      </c>
      <c r="E126" s="21" t="s">
        <v>37</v>
      </c>
      <c r="F126" s="21" t="s">
        <v>396</v>
      </c>
      <c r="G126" s="22" t="s">
        <v>38</v>
      </c>
      <c r="H126" s="21" t="s">
        <v>399</v>
      </c>
      <c r="I126" s="21" t="s">
        <v>402</v>
      </c>
      <c r="K126" s="37"/>
      <c r="L126" s="37"/>
    </row>
    <row r="127" spans="1:12" s="20" customFormat="1" x14ac:dyDescent="0.25">
      <c r="A127" s="31" t="s">
        <v>184</v>
      </c>
      <c r="B127" s="50" t="s">
        <v>394</v>
      </c>
      <c r="C127" s="32" t="s">
        <v>223</v>
      </c>
      <c r="D127" s="21" t="s">
        <v>305</v>
      </c>
      <c r="E127" s="21" t="s">
        <v>37</v>
      </c>
      <c r="F127" s="21" t="s">
        <v>396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311</v>
      </c>
      <c r="K128" s="37"/>
      <c r="L128" s="37"/>
    </row>
    <row r="129" spans="1:12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311</v>
      </c>
      <c r="K129" s="37"/>
      <c r="L129" s="37"/>
    </row>
    <row r="130" spans="1:12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311</v>
      </c>
      <c r="K130" s="37"/>
      <c r="L130" s="37"/>
    </row>
    <row r="131" spans="1:12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311</v>
      </c>
      <c r="K131" s="37"/>
      <c r="L131" s="37"/>
    </row>
    <row r="132" spans="1:12" s="20" customFormat="1" x14ac:dyDescent="0.25">
      <c r="A132" s="31" t="s">
        <v>450</v>
      </c>
      <c r="B132" s="32" t="s">
        <v>452</v>
      </c>
      <c r="C132" s="32"/>
      <c r="D132" s="21" t="s">
        <v>308</v>
      </c>
      <c r="E132" s="21" t="s">
        <v>37</v>
      </c>
      <c r="F132" s="21" t="s">
        <v>453</v>
      </c>
      <c r="G132" s="22" t="s">
        <v>38</v>
      </c>
      <c r="H132" s="21" t="s">
        <v>455</v>
      </c>
      <c r="I132" s="21" t="s">
        <v>457</v>
      </c>
      <c r="K132" s="37"/>
      <c r="L132" s="37"/>
    </row>
    <row r="133" spans="1:12" s="20" customFormat="1" x14ac:dyDescent="0.25">
      <c r="A133" s="31" t="s">
        <v>450</v>
      </c>
      <c r="B133" s="32" t="s">
        <v>465</v>
      </c>
      <c r="C133" s="32"/>
      <c r="D133" s="21" t="s">
        <v>308</v>
      </c>
      <c r="E133" s="21" t="s">
        <v>37</v>
      </c>
      <c r="F133" s="21" t="s">
        <v>453</v>
      </c>
      <c r="G133" s="24" t="s">
        <v>40</v>
      </c>
      <c r="H133" s="21" t="s">
        <v>455</v>
      </c>
      <c r="I133" s="21" t="s">
        <v>466</v>
      </c>
      <c r="K133" s="37"/>
      <c r="L133" s="37"/>
    </row>
    <row r="134" spans="1:12" s="20" customFormat="1" x14ac:dyDescent="0.25">
      <c r="A134" s="31" t="s">
        <v>450</v>
      </c>
      <c r="B134" s="32" t="s">
        <v>467</v>
      </c>
      <c r="C134" s="32"/>
      <c r="D134" s="21" t="s">
        <v>308</v>
      </c>
      <c r="E134" s="21" t="s">
        <v>37</v>
      </c>
      <c r="F134" s="21" t="s">
        <v>457</v>
      </c>
      <c r="G134" s="22" t="s">
        <v>38</v>
      </c>
      <c r="H134" s="21" t="s">
        <v>455</v>
      </c>
      <c r="I134" s="21" t="s">
        <v>453</v>
      </c>
      <c r="K134" s="37"/>
      <c r="L134" s="37"/>
    </row>
    <row r="135" spans="1:12" s="20" customFormat="1" x14ac:dyDescent="0.25">
      <c r="A135" s="31" t="s">
        <v>450</v>
      </c>
      <c r="B135" s="32" t="s">
        <v>463</v>
      </c>
      <c r="C135" s="32"/>
      <c r="D135" s="21" t="s">
        <v>308</v>
      </c>
      <c r="E135" s="21" t="s">
        <v>37</v>
      </c>
      <c r="F135" s="21" t="s">
        <v>457</v>
      </c>
      <c r="G135" s="24" t="s">
        <v>40</v>
      </c>
      <c r="H135" s="21" t="s">
        <v>455</v>
      </c>
      <c r="I135" s="21" t="s">
        <v>457</v>
      </c>
      <c r="K135" s="37"/>
      <c r="L135" s="37"/>
    </row>
    <row r="136" spans="1:12" s="20" customFormat="1" x14ac:dyDescent="0.25">
      <c r="A136" s="31" t="s">
        <v>450</v>
      </c>
      <c r="B136" s="32" t="s">
        <v>504</v>
      </c>
      <c r="C136" s="32"/>
      <c r="D136" s="21" t="s">
        <v>308</v>
      </c>
      <c r="E136" s="21" t="s">
        <v>37</v>
      </c>
      <c r="F136" s="21" t="s">
        <v>505</v>
      </c>
      <c r="G136" s="22" t="s">
        <v>38</v>
      </c>
      <c r="H136" s="21" t="s">
        <v>33</v>
      </c>
      <c r="I136" s="21" t="s">
        <v>283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74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"/>
    <protectedRange password="EBC5" sqref="I39:I41" name="範圍1_3_3_1_1_1_2_1_1_2_1_1"/>
    <protectedRange password="EBC5" sqref="I101:I112 I68:I95" name="範圍1_3_3_1_1_1_2_1_1_2_1_1_1_1"/>
    <protectedRange password="EBC5" sqref="I132:I135" name="範圍1_3_3_1_1_1_2_1_1_2_3"/>
    <protectedRange password="EBC5" sqref="I136" name="範圍1_3_3_1_1_1_2_1_1_2_4"/>
  </protectedRanges>
  <mergeCells count="11">
    <mergeCell ref="L68:P68"/>
    <mergeCell ref="L71:P71"/>
    <mergeCell ref="L74:P74"/>
    <mergeCell ref="L75:P75"/>
    <mergeCell ref="A99:C99"/>
    <mergeCell ref="A1:C1"/>
    <mergeCell ref="A53:C53"/>
    <mergeCell ref="A66:C66"/>
    <mergeCell ref="D141:G141"/>
    <mergeCell ref="A37:C37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U142"/>
  <sheetViews>
    <sheetView topLeftCell="A38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8.2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299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270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270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274</v>
      </c>
      <c r="G32" s="22" t="s">
        <v>38</v>
      </c>
      <c r="H32" s="21" t="s">
        <v>33</v>
      </c>
      <c r="I32" s="21" t="s">
        <v>41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274</v>
      </c>
      <c r="G33" s="24" t="s">
        <v>40</v>
      </c>
      <c r="H33" s="21" t="s">
        <v>33</v>
      </c>
      <c r="I33" s="21" t="s">
        <v>195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278</v>
      </c>
      <c r="G34" s="22" t="s">
        <v>38</v>
      </c>
      <c r="H34" s="21" t="s">
        <v>33</v>
      </c>
      <c r="I34" s="21" t="s">
        <v>119</v>
      </c>
      <c r="K34" s="37"/>
      <c r="L34" s="37" t="s">
        <v>383</v>
      </c>
      <c r="M34" s="20" t="str">
        <f>IF(I34="0x13","0.5",IF(I34="0x12","1","2"))</f>
        <v>2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406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0xA2</v>
      </c>
      <c r="J39" s="20" t="str">
        <f>DEC2HEX(MOD(N39,256))</f>
        <v>A2</v>
      </c>
      <c r="K39" s="37" t="str">
        <f>DEC2HEX(N39)</f>
        <v>2E8BA2</v>
      </c>
      <c r="L39" s="78" t="s">
        <v>377</v>
      </c>
      <c r="M39" s="75">
        <f>432*524288/(P70*P73*L75/1000000)</f>
        <v>1525201.4545454546</v>
      </c>
      <c r="N39" s="75">
        <f>(M39*M34)</f>
        <v>3050402.9090909092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0x8B</v>
      </c>
      <c r="J40" s="20" t="str">
        <f>DEC2HEX(MOD((N39-MOD(N39,256))/256,256))</f>
        <v>8B</v>
      </c>
      <c r="K40" s="37"/>
      <c r="L40" s="78" t="s">
        <v>378</v>
      </c>
      <c r="M40" s="75">
        <f>16*524288/(P70*P73)</f>
        <v>2.8244471380471379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0x2E</v>
      </c>
      <c r="J41" s="20" t="str">
        <f>DEC2HEX((N39-MOD(N39,256))/65536)</f>
        <v>2E</v>
      </c>
      <c r="K41" s="37"/>
      <c r="L41" s="78" t="s">
        <v>381</v>
      </c>
      <c r="M41" s="75">
        <f>IF(M40&gt;16,M40*128, M40*256)</f>
        <v>723.0584673400673</v>
      </c>
      <c r="N41" s="75"/>
    </row>
    <row r="42" spans="1:14" s="20" customFormat="1" x14ac:dyDescent="0.25">
      <c r="A42" s="68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284</v>
      </c>
      <c r="G42" s="22" t="s">
        <v>38</v>
      </c>
      <c r="H42" s="21" t="s">
        <v>33</v>
      </c>
      <c r="I42" s="21" t="s">
        <v>436</v>
      </c>
      <c r="K42" s="37" t="str">
        <f>DEC2HEX(M41)</f>
        <v>2D3</v>
      </c>
      <c r="L42" s="37"/>
    </row>
    <row r="43" spans="1:14" s="20" customFormat="1" x14ac:dyDescent="0.25">
      <c r="A43" s="68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284</v>
      </c>
      <c r="G43" s="24" t="s">
        <v>40</v>
      </c>
      <c r="H43" s="21" t="s">
        <v>33</v>
      </c>
      <c r="I43" s="21" t="s">
        <v>131</v>
      </c>
      <c r="K43" s="37"/>
      <c r="L43" s="37"/>
    </row>
    <row r="44" spans="1:14" s="20" customFormat="1" x14ac:dyDescent="0.25">
      <c r="A44" s="68" t="s">
        <v>429</v>
      </c>
      <c r="B44" s="50" t="s">
        <v>435</v>
      </c>
      <c r="C44" s="32"/>
      <c r="D44" s="21" t="s">
        <v>305</v>
      </c>
      <c r="E44" s="21" t="s">
        <v>37</v>
      </c>
      <c r="F44" s="21" t="s">
        <v>432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420</v>
      </c>
      <c r="B45" s="50" t="s">
        <v>422</v>
      </c>
      <c r="C45" s="32"/>
      <c r="D45" s="21" t="s">
        <v>302</v>
      </c>
      <c r="E45" s="21" t="s">
        <v>37</v>
      </c>
      <c r="F45" s="21" t="s">
        <v>413</v>
      </c>
      <c r="G45" s="22" t="s">
        <v>38</v>
      </c>
      <c r="H45" s="21" t="s">
        <v>417</v>
      </c>
      <c r="I45" s="21" t="s">
        <v>428</v>
      </c>
      <c r="K45" s="37"/>
      <c r="L45" s="37"/>
    </row>
    <row r="46" spans="1:14" s="20" customFormat="1" x14ac:dyDescent="0.25">
      <c r="A46" s="68" t="s">
        <v>421</v>
      </c>
      <c r="B46" s="50" t="s">
        <v>419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417</v>
      </c>
      <c r="I46" s="21" t="s">
        <v>426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53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41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281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53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351</v>
      </c>
      <c r="I59" s="21" t="s">
        <v>41</v>
      </c>
      <c r="K59" s="37"/>
      <c r="L59" s="37"/>
    </row>
    <row r="60" spans="1:12" s="20" customFormat="1" x14ac:dyDescent="0.25">
      <c r="A60" s="31" t="s">
        <v>178</v>
      </c>
      <c r="B60" s="50" t="s">
        <v>353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346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522</v>
      </c>
      <c r="C62" s="32"/>
      <c r="D62" s="21" t="s">
        <v>306</v>
      </c>
      <c r="E62" s="21" t="s">
        <v>37</v>
      </c>
      <c r="F62" s="21" t="s">
        <v>528</v>
      </c>
      <c r="G62" s="22" t="s">
        <v>38</v>
      </c>
      <c r="H62" s="21" t="s">
        <v>531</v>
      </c>
      <c r="I62" s="21" t="str">
        <f>IF(L77="NEG","0x01","0x00")</f>
        <v>0x00</v>
      </c>
      <c r="K62" s="37"/>
      <c r="L62" s="37"/>
    </row>
    <row r="63" spans="1:12" s="20" customFormat="1" x14ac:dyDescent="0.25">
      <c r="A63" s="68"/>
      <c r="B63" s="50" t="s">
        <v>526</v>
      </c>
      <c r="C63" s="32"/>
      <c r="D63" s="21" t="s">
        <v>306</v>
      </c>
      <c r="E63" s="21" t="s">
        <v>37</v>
      </c>
      <c r="F63" s="21" t="s">
        <v>529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0x4F</v>
      </c>
      <c r="J68" s="20" t="str">
        <f>DEC2HEX(MOD(K68,256))</f>
        <v>4F</v>
      </c>
      <c r="K68" s="37">
        <f>P70-1</f>
        <v>2639</v>
      </c>
      <c r="L68" s="85" t="s">
        <v>332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0xA</v>
      </c>
      <c r="J69" s="20" t="str">
        <f>DEC2HEX((K68-MOD(K68,256))/256)</f>
        <v>A</v>
      </c>
      <c r="K69" s="37"/>
      <c r="L69" s="71" t="s">
        <v>329</v>
      </c>
      <c r="M69" s="71" t="s">
        <v>333</v>
      </c>
      <c r="N69" s="71" t="s">
        <v>334</v>
      </c>
      <c r="O69" s="71" t="s">
        <v>335</v>
      </c>
      <c r="P69" s="71" t="s">
        <v>336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0x64</v>
      </c>
      <c r="J70" s="20" t="str">
        <f>DEC2HEX(MOD(K70,256))</f>
        <v>64</v>
      </c>
      <c r="K70" s="37">
        <f>P73-1</f>
        <v>1124</v>
      </c>
      <c r="L70" s="72">
        <v>44</v>
      </c>
      <c r="M70" s="72">
        <v>148</v>
      </c>
      <c r="N70" s="72">
        <v>1920</v>
      </c>
      <c r="O70" s="72">
        <f>P70-N70-M70-L70</f>
        <v>528</v>
      </c>
      <c r="P70" s="72">
        <v>2640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0x04</v>
      </c>
      <c r="J71" s="20" t="str">
        <f>DEC2HEX((K70-MOD(K70,256))/256)</f>
        <v>4</v>
      </c>
      <c r="K71" s="37"/>
      <c r="L71" s="85" t="s">
        <v>328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329</v>
      </c>
      <c r="M72" s="71" t="s">
        <v>333</v>
      </c>
      <c r="N72" s="71" t="s">
        <v>334</v>
      </c>
      <c r="O72" s="71" t="s">
        <v>335</v>
      </c>
      <c r="P72" s="71" t="s">
        <v>336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5</v>
      </c>
      <c r="M73" s="72">
        <v>36</v>
      </c>
      <c r="N73" s="72">
        <v>1080</v>
      </c>
      <c r="O73" s="72">
        <f>P73-N73-M73-L73</f>
        <v>4</v>
      </c>
      <c r="P73" s="72">
        <v>1125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0x2B</v>
      </c>
      <c r="J74" s="20" t="str">
        <f>DEC2HEX(MOD(K74,256))</f>
        <v>2B</v>
      </c>
      <c r="K74" s="37">
        <f>L70-1</f>
        <v>43</v>
      </c>
      <c r="L74" s="85" t="s">
        <v>331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50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534</v>
      </c>
      <c r="M76" s="80" t="s">
        <v>536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540</v>
      </c>
      <c r="M77" s="72" t="s">
        <v>541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0x04</v>
      </c>
      <c r="J78" s="20" t="str">
        <f>DEC2HEX(MOD(K78,256))</f>
        <v>4</v>
      </c>
      <c r="K78" s="37">
        <f>L73-1</f>
        <v>4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0xC0</v>
      </c>
      <c r="J80" s="20" t="str">
        <f>DEC2HEX(MOD(K80,256))</f>
        <v>C0</v>
      </c>
      <c r="K80" s="37">
        <f>L70+M70</f>
        <v>192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0x00</v>
      </c>
      <c r="J81" s="20" t="str">
        <f>DEC2HEX((K80-MOD(K80,256))/256)</f>
        <v>0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0x3F</v>
      </c>
      <c r="J82" s="20" t="str">
        <f>DEC2HEX(MOD(K82,256))</f>
        <v>3F</v>
      </c>
      <c r="K82" s="37">
        <f>L70+M70+N70-1</f>
        <v>2111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0x08</v>
      </c>
      <c r="J83" s="20" t="str">
        <f>DEC2HEX((K82-MOD(K82,256))/256)</f>
        <v>8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0x29</v>
      </c>
      <c r="J84" s="20" t="str">
        <f>DEC2HEX(MOD(K84,256))</f>
        <v>29</v>
      </c>
      <c r="K84" s="37">
        <f>L73+M73</f>
        <v>41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284</v>
      </c>
      <c r="G86" s="22" t="s">
        <v>38</v>
      </c>
      <c r="H86" s="21" t="s">
        <v>33</v>
      </c>
      <c r="I86" s="21" t="str">
        <f t="shared" si="0"/>
        <v>0x60</v>
      </c>
      <c r="J86" s="20" t="str">
        <f>DEC2HEX(MOD(K86,256))</f>
        <v>60</v>
      </c>
      <c r="K86" s="37">
        <f>L73+M73+N73-1</f>
        <v>1120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284</v>
      </c>
      <c r="G87" s="24" t="s">
        <v>40</v>
      </c>
      <c r="H87" s="21" t="s">
        <v>33</v>
      </c>
      <c r="I87" s="21" t="str">
        <f t="shared" si="0"/>
        <v>0x04</v>
      </c>
      <c r="J87" s="20" t="str">
        <f>DEC2HEX((K86-MOD(K86,256))/256)</f>
        <v>4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274</v>
      </c>
      <c r="G88" s="22" t="s">
        <v>38</v>
      </c>
      <c r="H88" s="21" t="s">
        <v>33</v>
      </c>
      <c r="I88" s="21" t="str">
        <f t="shared" si="0"/>
        <v>0xC0</v>
      </c>
      <c r="J88" s="20" t="str">
        <f>DEC2HEX(MOD(K88,256))</f>
        <v>C0</v>
      </c>
      <c r="K88" s="37">
        <f>L70+M70</f>
        <v>192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274</v>
      </c>
      <c r="G89" s="24" t="s">
        <v>40</v>
      </c>
      <c r="H89" s="21" t="s">
        <v>33</v>
      </c>
      <c r="I89" s="21" t="str">
        <f t="shared" si="0"/>
        <v>0x00</v>
      </c>
      <c r="J89" s="20" t="str">
        <f>DEC2HEX((K88-MOD(K88,256))/256)</f>
        <v>0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0x3F</v>
      </c>
      <c r="J90" s="20" t="str">
        <f>DEC2HEX(MOD(K90,256))</f>
        <v>3F</v>
      </c>
      <c r="K90" s="37">
        <f>L70+M70+N70-1</f>
        <v>2111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0x08</v>
      </c>
      <c r="J91" s="20" t="str">
        <f>DEC2HEX((K90-MOD(K90,256))/256)</f>
        <v>8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0x29</v>
      </c>
      <c r="J92" s="20" t="str">
        <f>DEC2HEX(MOD(K92,256))</f>
        <v>29</v>
      </c>
      <c r="K92" s="37">
        <f>L73+M73</f>
        <v>41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287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281</v>
      </c>
      <c r="G94" s="22" t="s">
        <v>38</v>
      </c>
      <c r="H94" s="21" t="s">
        <v>33</v>
      </c>
      <c r="I94" s="21" t="str">
        <f t="shared" si="0"/>
        <v>0x60</v>
      </c>
      <c r="J94" s="20" t="str">
        <f>DEC2HEX(MOD(K94,256))</f>
        <v>60</v>
      </c>
      <c r="K94" s="37">
        <f>L73+M73+N73-1</f>
        <v>1120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281</v>
      </c>
      <c r="G95" s="24" t="s">
        <v>40</v>
      </c>
      <c r="H95" s="21" t="s">
        <v>33</v>
      </c>
      <c r="I95" s="21" t="str">
        <f t="shared" si="0"/>
        <v>0x04</v>
      </c>
      <c r="J95" s="20" t="str">
        <f>DEC2HEX((K94-MOD(K94,256))/256)</f>
        <v>4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363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0x2B</v>
      </c>
      <c r="J103" s="20" t="str">
        <f>DEC2HEX(MOD(K103,256))</f>
        <v>2B</v>
      </c>
      <c r="K103" s="37">
        <f>L70-1</f>
        <v>43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0xC0</v>
      </c>
      <c r="J105" s="20" t="str">
        <f>DEC2HEX(MOD(K105,256))</f>
        <v>C0</v>
      </c>
      <c r="K105" s="37">
        <f>L70+M70</f>
        <v>192</v>
      </c>
      <c r="L105" s="37"/>
    </row>
    <row r="106" spans="1:12" s="20" customFormat="1" x14ac:dyDescent="0.25">
      <c r="A106" s="68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0x00</v>
      </c>
      <c r="J106" s="20" t="str">
        <f>DEC2HEX((K105-MOD(K105,256))/256)</f>
        <v>0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0x3F</v>
      </c>
      <c r="J107" s="20" t="str">
        <f>DEC2HEX(MOD(K107,256))</f>
        <v>3F</v>
      </c>
      <c r="K107" s="37">
        <f>L70+M70+N70-1</f>
        <v>2111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0x08</v>
      </c>
      <c r="J108" s="20" t="str">
        <f>DEC2HEX((K107-MOD(K107,256))/256)</f>
        <v>8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0x29</v>
      </c>
      <c r="J109" s="20" t="str">
        <f>DEC2HEX(MOD(K109,256))</f>
        <v>29</v>
      </c>
      <c r="K109" s="37">
        <f>L73+M73</f>
        <v>41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295</v>
      </c>
      <c r="G111" s="22" t="s">
        <v>38</v>
      </c>
      <c r="H111" s="21" t="s">
        <v>33</v>
      </c>
      <c r="I111" s="21" t="str">
        <f t="shared" si="1"/>
        <v>0x60</v>
      </c>
      <c r="J111" s="20" t="str">
        <f>DEC2HEX(MOD(K111,256))</f>
        <v>60</v>
      </c>
      <c r="K111" s="37">
        <f>L73+M73+N73-1</f>
        <v>1120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295</v>
      </c>
      <c r="G112" s="24" t="s">
        <v>40</v>
      </c>
      <c r="H112" s="21" t="s">
        <v>33</v>
      </c>
      <c r="I112" s="21" t="str">
        <f t="shared" si="1"/>
        <v>0x04</v>
      </c>
      <c r="J112" s="20" t="str">
        <f>DEC2HEX((K111-MOD(K111,256))/256)</f>
        <v>4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518</v>
      </c>
      <c r="C119" s="32" t="s">
        <v>519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410</v>
      </c>
      <c r="B122" s="50" t="s">
        <v>361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351</v>
      </c>
      <c r="I122" s="21" t="s">
        <v>41</v>
      </c>
      <c r="K122" s="37"/>
      <c r="L122" s="37"/>
    </row>
    <row r="123" spans="1:12" s="20" customFormat="1" x14ac:dyDescent="0.25">
      <c r="A123" s="68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384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388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310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388</v>
      </c>
      <c r="C125" s="32" t="s">
        <v>223</v>
      </c>
      <c r="D125" s="21" t="s">
        <v>305</v>
      </c>
      <c r="E125" s="21" t="s">
        <v>37</v>
      </c>
      <c r="F125" s="21" t="s">
        <v>53</v>
      </c>
      <c r="G125" s="24" t="s">
        <v>310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394</v>
      </c>
      <c r="C126" s="32" t="s">
        <v>223</v>
      </c>
      <c r="D126" s="21" t="s">
        <v>305</v>
      </c>
      <c r="E126" s="21" t="s">
        <v>37</v>
      </c>
      <c r="F126" s="21" t="s">
        <v>397</v>
      </c>
      <c r="G126" s="22" t="s">
        <v>38</v>
      </c>
      <c r="H126" s="21" t="s">
        <v>399</v>
      </c>
      <c r="I126" s="21" t="s">
        <v>402</v>
      </c>
      <c r="K126" s="37"/>
      <c r="L126" s="37"/>
    </row>
    <row r="127" spans="1:12" s="20" customFormat="1" x14ac:dyDescent="0.25">
      <c r="A127" s="31" t="s">
        <v>184</v>
      </c>
      <c r="B127" s="50" t="s">
        <v>394</v>
      </c>
      <c r="C127" s="32" t="s">
        <v>223</v>
      </c>
      <c r="D127" s="21" t="s">
        <v>305</v>
      </c>
      <c r="E127" s="21" t="s">
        <v>37</v>
      </c>
      <c r="F127" s="21" t="s">
        <v>397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39</v>
      </c>
      <c r="K128" s="37"/>
      <c r="L128" s="37"/>
    </row>
    <row r="129" spans="1:12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39</v>
      </c>
      <c r="K129" s="37"/>
      <c r="L129" s="37"/>
    </row>
    <row r="130" spans="1:12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39</v>
      </c>
      <c r="K130" s="37"/>
      <c r="L130" s="37"/>
    </row>
    <row r="131" spans="1:12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39</v>
      </c>
      <c r="K131" s="37"/>
      <c r="L131" s="37"/>
    </row>
    <row r="132" spans="1:12" s="20" customFormat="1" x14ac:dyDescent="0.25">
      <c r="A132" s="31" t="s">
        <v>476</v>
      </c>
      <c r="B132" s="32" t="s">
        <v>452</v>
      </c>
      <c r="C132" s="32"/>
      <c r="D132" s="21" t="s">
        <v>308</v>
      </c>
      <c r="E132" s="21" t="s">
        <v>37</v>
      </c>
      <c r="F132" s="21" t="s">
        <v>468</v>
      </c>
      <c r="G132" s="22" t="s">
        <v>38</v>
      </c>
      <c r="H132" s="21" t="s">
        <v>473</v>
      </c>
      <c r="I132" s="21" t="s">
        <v>472</v>
      </c>
      <c r="K132" s="37"/>
      <c r="L132" s="37"/>
    </row>
    <row r="133" spans="1:12" s="20" customFormat="1" x14ac:dyDescent="0.25">
      <c r="A133" s="31" t="s">
        <v>481</v>
      </c>
      <c r="B133" s="32" t="s">
        <v>470</v>
      </c>
      <c r="C133" s="32"/>
      <c r="D133" s="21" t="s">
        <v>308</v>
      </c>
      <c r="E133" s="21" t="s">
        <v>37</v>
      </c>
      <c r="F133" s="21" t="s">
        <v>468</v>
      </c>
      <c r="G133" s="24" t="s">
        <v>495</v>
      </c>
      <c r="H133" s="21" t="s">
        <v>473</v>
      </c>
      <c r="I133" s="21" t="s">
        <v>496</v>
      </c>
      <c r="K133" s="37"/>
      <c r="L133" s="37"/>
    </row>
    <row r="134" spans="1:12" s="20" customFormat="1" x14ac:dyDescent="0.25">
      <c r="A134" s="31" t="s">
        <v>450</v>
      </c>
      <c r="B134" s="32" t="s">
        <v>497</v>
      </c>
      <c r="C134" s="32"/>
      <c r="D134" s="21" t="s">
        <v>308</v>
      </c>
      <c r="E134" s="21" t="s">
        <v>37</v>
      </c>
      <c r="F134" s="21" t="s">
        <v>498</v>
      </c>
      <c r="G134" s="22" t="s">
        <v>38</v>
      </c>
      <c r="H134" s="21" t="s">
        <v>486</v>
      </c>
      <c r="I134" s="21" t="s">
        <v>468</v>
      </c>
      <c r="K134" s="37"/>
      <c r="L134" s="37"/>
    </row>
    <row r="135" spans="1:12" s="20" customFormat="1" x14ac:dyDescent="0.25">
      <c r="A135" s="31" t="s">
        <v>476</v>
      </c>
      <c r="B135" s="32" t="s">
        <v>479</v>
      </c>
      <c r="C135" s="32"/>
      <c r="D135" s="21" t="s">
        <v>308</v>
      </c>
      <c r="E135" s="21" t="s">
        <v>37</v>
      </c>
      <c r="F135" s="21" t="s">
        <v>472</v>
      </c>
      <c r="G135" s="24" t="s">
        <v>40</v>
      </c>
      <c r="H135" s="21" t="s">
        <v>473</v>
      </c>
      <c r="I135" s="21" t="s">
        <v>457</v>
      </c>
      <c r="K135" s="37"/>
      <c r="L135" s="37"/>
    </row>
    <row r="136" spans="1:12" s="20" customFormat="1" x14ac:dyDescent="0.25">
      <c r="A136" s="31" t="s">
        <v>450</v>
      </c>
      <c r="B136" s="32" t="s">
        <v>504</v>
      </c>
      <c r="C136" s="32"/>
      <c r="D136" s="21" t="s">
        <v>308</v>
      </c>
      <c r="E136" s="21" t="s">
        <v>37</v>
      </c>
      <c r="F136" s="21" t="s">
        <v>505</v>
      </c>
      <c r="G136" s="22" t="s">
        <v>38</v>
      </c>
      <c r="H136" s="21" t="s">
        <v>33</v>
      </c>
      <c r="I136" s="21" t="s">
        <v>283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74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_1"/>
    <protectedRange password="EBC5" sqref="I39:I41" name="範圍1_3_3_1_1_1_2_1_1_2_1_3"/>
    <protectedRange password="EBC5" sqref="I101:I112 I68:I95" name="範圍1_3_3_1_1_1_2_1_1_2_1_1_1_1"/>
    <protectedRange password="EBC5" sqref="I132:I135" name="範圍1_3_3_1_1_1_2_1_1_2_1"/>
    <protectedRange password="EBC5" sqref="I136" name="範圍1_3_3_1_1_1_2_1_1_2_3"/>
  </protectedRanges>
  <mergeCells count="11">
    <mergeCell ref="L68:P68"/>
    <mergeCell ref="L71:P71"/>
    <mergeCell ref="L74:P74"/>
    <mergeCell ref="L75:P75"/>
    <mergeCell ref="A99:C99"/>
    <mergeCell ref="A1:C1"/>
    <mergeCell ref="A53:C53"/>
    <mergeCell ref="A66:C66"/>
    <mergeCell ref="D141:G141"/>
    <mergeCell ref="A37:C37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U142"/>
  <sheetViews>
    <sheetView topLeftCell="A55" zoomScale="115" zoomScaleNormal="115" workbookViewId="0">
      <selection activeCell="A117" sqref="A117:XFD117"/>
    </sheetView>
  </sheetViews>
  <sheetFormatPr defaultRowHeight="16.5" x14ac:dyDescent="0.25"/>
  <cols>
    <col min="1" max="1" width="28.37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8.2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231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300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86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100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268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270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31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274</v>
      </c>
      <c r="G32" s="22" t="s">
        <v>38</v>
      </c>
      <c r="H32" s="21" t="s">
        <v>33</v>
      </c>
      <c r="I32" s="21" t="s">
        <v>227</v>
      </c>
      <c r="K32" s="37"/>
      <c r="L32" s="37"/>
    </row>
    <row r="33" spans="1:14" s="20" customFormat="1" x14ac:dyDescent="0.25">
      <c r="A33" s="31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275</v>
      </c>
      <c r="G33" s="24" t="s">
        <v>40</v>
      </c>
      <c r="H33" s="21" t="s">
        <v>33</v>
      </c>
      <c r="I33" s="21" t="s">
        <v>195</v>
      </c>
      <c r="K33" s="37"/>
      <c r="L33" s="37"/>
    </row>
    <row r="34" spans="1:14" s="20" customFormat="1" ht="38.25" x14ac:dyDescent="0.25">
      <c r="A34" s="31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278</v>
      </c>
      <c r="G34" s="22" t="s">
        <v>38</v>
      </c>
      <c r="H34" s="21" t="s">
        <v>33</v>
      </c>
      <c r="I34" s="21" t="s">
        <v>228</v>
      </c>
      <c r="K34" s="37"/>
      <c r="L34" s="37" t="s">
        <v>383</v>
      </c>
      <c r="M34" s="20" t="str">
        <f>IF(I34="0x13","0.5",IF(I34="0x12","1","2"))</f>
        <v>2</v>
      </c>
    </row>
    <row r="35" spans="1:14" s="20" customFormat="1" x14ac:dyDescent="0.25">
      <c r="A35" s="60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60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406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31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0xA2</v>
      </c>
      <c r="J39" s="20" t="str">
        <f>DEC2HEX(MOD(N39,256))</f>
        <v>A2</v>
      </c>
      <c r="K39" s="37" t="str">
        <f>DEC2HEX(N39)</f>
        <v>2E8BA2</v>
      </c>
      <c r="L39" s="78" t="s">
        <v>377</v>
      </c>
      <c r="M39" s="75">
        <f>432*524288/(P70*P73*L75/1000000)</f>
        <v>1525201.4545454546</v>
      </c>
      <c r="N39" s="75">
        <f>(M39*M34)</f>
        <v>3050402.9090909092</v>
      </c>
    </row>
    <row r="40" spans="1:14" s="20" customFormat="1" x14ac:dyDescent="0.25">
      <c r="A40" s="31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0x8B</v>
      </c>
      <c r="J40" s="20" t="str">
        <f>DEC2HEX(MOD((N39-MOD(N39,256))/256,256))</f>
        <v>8B</v>
      </c>
      <c r="K40" s="37"/>
      <c r="L40" s="78" t="s">
        <v>379</v>
      </c>
      <c r="M40" s="75">
        <f>16*524288/(P70*P73)</f>
        <v>3.3893365656565657</v>
      </c>
      <c r="N40" s="75"/>
    </row>
    <row r="41" spans="1:14" s="20" customFormat="1" x14ac:dyDescent="0.25">
      <c r="A41" s="31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0x2E</v>
      </c>
      <c r="J41" s="20" t="str">
        <f>DEC2HEX((N39-MOD(N39,256))/65536)</f>
        <v>2E</v>
      </c>
      <c r="K41" s="37"/>
      <c r="L41" s="78" t="s">
        <v>382</v>
      </c>
      <c r="M41" s="75">
        <f>IF(M40&gt;16,M40*128, M40*256)</f>
        <v>867.67016080808082</v>
      </c>
      <c r="N41" s="75"/>
    </row>
    <row r="42" spans="1:14" s="20" customFormat="1" x14ac:dyDescent="0.25">
      <c r="A42" s="31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285</v>
      </c>
      <c r="G42" s="22" t="s">
        <v>38</v>
      </c>
      <c r="H42" s="21" t="s">
        <v>33</v>
      </c>
      <c r="I42" s="21" t="s">
        <v>241</v>
      </c>
      <c r="K42" s="37" t="str">
        <f>DEC2HEX(M41)</f>
        <v>363</v>
      </c>
      <c r="L42" s="37"/>
    </row>
    <row r="43" spans="1:14" s="20" customFormat="1" x14ac:dyDescent="0.25">
      <c r="A43" s="31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285</v>
      </c>
      <c r="G43" s="24" t="s">
        <v>40</v>
      </c>
      <c r="H43" s="21" t="s">
        <v>33</v>
      </c>
      <c r="I43" s="21" t="s">
        <v>240</v>
      </c>
      <c r="K43" s="37"/>
      <c r="L43" s="37"/>
    </row>
    <row r="44" spans="1:14" s="20" customFormat="1" x14ac:dyDescent="0.25">
      <c r="A44" s="31" t="s">
        <v>429</v>
      </c>
      <c r="B44" s="50" t="s">
        <v>434</v>
      </c>
      <c r="C44" s="32"/>
      <c r="D44" s="21" t="s">
        <v>305</v>
      </c>
      <c r="E44" s="21" t="s">
        <v>37</v>
      </c>
      <c r="F44" s="21" t="s">
        <v>432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31" t="s">
        <v>420</v>
      </c>
      <c r="B45" s="50" t="s">
        <v>423</v>
      </c>
      <c r="C45" s="32"/>
      <c r="D45" s="21" t="s">
        <v>302</v>
      </c>
      <c r="E45" s="21" t="s">
        <v>37</v>
      </c>
      <c r="F45" s="21" t="s">
        <v>414</v>
      </c>
      <c r="G45" s="22" t="s">
        <v>38</v>
      </c>
      <c r="H45" s="21" t="s">
        <v>417</v>
      </c>
      <c r="I45" s="21" t="s">
        <v>428</v>
      </c>
      <c r="K45" s="37"/>
      <c r="L45" s="37"/>
    </row>
    <row r="46" spans="1:14" s="20" customFormat="1" x14ac:dyDescent="0.25">
      <c r="A46" s="31" t="s">
        <v>421</v>
      </c>
      <c r="B46" s="50" t="s">
        <v>419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416</v>
      </c>
      <c r="I46" s="21" t="s">
        <v>425</v>
      </c>
      <c r="K46" s="37"/>
      <c r="L46" s="37"/>
    </row>
    <row r="47" spans="1:14" s="20" customFormat="1" x14ac:dyDescent="0.25">
      <c r="A47" s="31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100</v>
      </c>
      <c r="G47" s="22" t="s">
        <v>38</v>
      </c>
      <c r="H47" s="21" t="s">
        <v>33</v>
      </c>
      <c r="I47" s="21" t="s">
        <v>171</v>
      </c>
      <c r="K47" s="37"/>
      <c r="L47" s="37"/>
    </row>
    <row r="48" spans="1:14" s="20" customFormat="1" x14ac:dyDescent="0.25">
      <c r="A48" s="31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31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31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229</v>
      </c>
      <c r="K50" s="37"/>
      <c r="L50" s="37"/>
    </row>
    <row r="51" spans="1:12" s="20" customFormat="1" x14ac:dyDescent="0.25">
      <c r="A51" s="60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60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280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171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41</v>
      </c>
      <c r="K59" s="37"/>
      <c r="L59" s="37"/>
    </row>
    <row r="60" spans="1:12" s="20" customFormat="1" x14ac:dyDescent="0.25">
      <c r="A60" s="31" t="s">
        <v>178</v>
      </c>
      <c r="B60" s="50" t="s">
        <v>353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31"/>
      <c r="B61" s="50" t="s">
        <v>345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522</v>
      </c>
      <c r="C62" s="32"/>
      <c r="D62" s="21" t="s">
        <v>306</v>
      </c>
      <c r="E62" s="21" t="s">
        <v>37</v>
      </c>
      <c r="F62" s="21" t="s">
        <v>529</v>
      </c>
      <c r="G62" s="22" t="s">
        <v>38</v>
      </c>
      <c r="H62" s="21" t="s">
        <v>131</v>
      </c>
      <c r="I62" s="21" t="str">
        <f>IF(L77="NEG","0x01","0x00")</f>
        <v>0x00</v>
      </c>
      <c r="K62" s="37"/>
      <c r="L62" s="37"/>
    </row>
    <row r="63" spans="1:12" s="20" customFormat="1" x14ac:dyDescent="0.25">
      <c r="A63" s="31"/>
      <c r="B63" s="50" t="s">
        <v>526</v>
      </c>
      <c r="C63" s="32"/>
      <c r="D63" s="21" t="s">
        <v>306</v>
      </c>
      <c r="E63" s="21" t="s">
        <v>37</v>
      </c>
      <c r="F63" s="21" t="s">
        <v>529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60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235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31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0x97</v>
      </c>
      <c r="J68" s="20" t="str">
        <f>DEC2HEX(MOD(K68,256))</f>
        <v>97</v>
      </c>
      <c r="K68" s="37">
        <f>P70-1</f>
        <v>2199</v>
      </c>
      <c r="L68" s="85" t="s">
        <v>40</v>
      </c>
      <c r="M68" s="85"/>
      <c r="N68" s="85"/>
      <c r="O68" s="85"/>
      <c r="P68" s="85"/>
    </row>
    <row r="69" spans="1:16" s="20" customFormat="1" x14ac:dyDescent="0.25">
      <c r="A69" s="57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0x08</v>
      </c>
      <c r="J69" s="20" t="str">
        <f>DEC2HEX((K68-MOD(K68,256))/256)</f>
        <v>8</v>
      </c>
      <c r="K69" s="37"/>
      <c r="L69" s="71" t="s">
        <v>313</v>
      </c>
      <c r="M69" s="71" t="s">
        <v>333</v>
      </c>
      <c r="N69" s="71" t="s">
        <v>315</v>
      </c>
      <c r="O69" s="71" t="s">
        <v>316</v>
      </c>
      <c r="P69" s="71" t="s">
        <v>317</v>
      </c>
    </row>
    <row r="70" spans="1:16" s="20" customFormat="1" x14ac:dyDescent="0.25">
      <c r="A70" s="31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0x64</v>
      </c>
      <c r="J70" s="20" t="str">
        <f>DEC2HEX(MOD(K70,256))</f>
        <v>64</v>
      </c>
      <c r="K70" s="37">
        <f>P73-1</f>
        <v>1124</v>
      </c>
      <c r="L70" s="72">
        <v>44</v>
      </c>
      <c r="M70" s="72">
        <v>148</v>
      </c>
      <c r="N70" s="72">
        <v>1920</v>
      </c>
      <c r="O70" s="72">
        <f>P70-N70-M70-L70</f>
        <v>88</v>
      </c>
      <c r="P70" s="72">
        <v>2200</v>
      </c>
    </row>
    <row r="71" spans="1:16" s="20" customFormat="1" x14ac:dyDescent="0.25">
      <c r="A71" s="31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0x04</v>
      </c>
      <c r="J71" s="20" t="str">
        <f>DEC2HEX((K70-MOD(K70,256))/256)</f>
        <v>4</v>
      </c>
      <c r="K71" s="37"/>
      <c r="L71" s="85" t="s">
        <v>328</v>
      </c>
      <c r="M71" s="85"/>
      <c r="N71" s="85"/>
      <c r="O71" s="85"/>
      <c r="P71" s="85"/>
    </row>
    <row r="72" spans="1:16" s="20" customFormat="1" x14ac:dyDescent="0.25">
      <c r="A72" s="31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313</v>
      </c>
      <c r="M72" s="71" t="s">
        <v>333</v>
      </c>
      <c r="N72" s="71" t="s">
        <v>315</v>
      </c>
      <c r="O72" s="71" t="s">
        <v>316</v>
      </c>
      <c r="P72" s="71" t="s">
        <v>317</v>
      </c>
    </row>
    <row r="73" spans="1:16" s="20" customFormat="1" x14ac:dyDescent="0.25">
      <c r="A73" s="31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187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5</v>
      </c>
      <c r="M73" s="72">
        <v>36</v>
      </c>
      <c r="N73" s="72">
        <v>1080</v>
      </c>
      <c r="O73" s="72">
        <f>P73-N73-M73-L73</f>
        <v>4</v>
      </c>
      <c r="P73" s="72">
        <v>1125</v>
      </c>
    </row>
    <row r="74" spans="1:16" s="20" customFormat="1" x14ac:dyDescent="0.25">
      <c r="A74" s="31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0x2B</v>
      </c>
      <c r="J74" s="20" t="str">
        <f>DEC2HEX(MOD(K74,256))</f>
        <v>2B</v>
      </c>
      <c r="K74" s="37">
        <f>L70-1</f>
        <v>43</v>
      </c>
      <c r="L74" s="85" t="s">
        <v>319</v>
      </c>
      <c r="M74" s="85"/>
      <c r="N74" s="85"/>
      <c r="O74" s="85"/>
      <c r="P74" s="85"/>
    </row>
    <row r="75" spans="1:16" s="20" customFormat="1" x14ac:dyDescent="0.25">
      <c r="A75" s="31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146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60</v>
      </c>
      <c r="M75" s="84"/>
      <c r="N75" s="84"/>
      <c r="O75" s="84"/>
      <c r="P75" s="84"/>
    </row>
    <row r="76" spans="1:16" s="20" customFormat="1" x14ac:dyDescent="0.25">
      <c r="A76" s="31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189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534</v>
      </c>
      <c r="M76" s="80" t="s">
        <v>537</v>
      </c>
    </row>
    <row r="77" spans="1:16" s="20" customFormat="1" x14ac:dyDescent="0.25">
      <c r="A77" s="31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540</v>
      </c>
      <c r="M77" s="72" t="s">
        <v>541</v>
      </c>
    </row>
    <row r="78" spans="1:16" s="20" customFormat="1" x14ac:dyDescent="0.25">
      <c r="A78" s="31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190</v>
      </c>
      <c r="G78" s="22" t="s">
        <v>38</v>
      </c>
      <c r="H78" s="21" t="s">
        <v>33</v>
      </c>
      <c r="I78" s="21" t="str">
        <f t="shared" si="0"/>
        <v>0x04</v>
      </c>
      <c r="J78" s="20" t="str">
        <f>DEC2HEX(MOD(K78,256))</f>
        <v>4</v>
      </c>
      <c r="K78" s="37">
        <f>L73-1</f>
        <v>4</v>
      </c>
      <c r="L78" s="37"/>
    </row>
    <row r="79" spans="1:16" s="20" customFormat="1" x14ac:dyDescent="0.25">
      <c r="A79" s="31" t="s">
        <v>184</v>
      </c>
      <c r="B79" s="32" t="s">
        <v>157</v>
      </c>
      <c r="C79" s="32"/>
      <c r="D79" s="21" t="s">
        <v>302</v>
      </c>
      <c r="E79" s="21" t="s">
        <v>37</v>
      </c>
      <c r="F79" s="21" t="s">
        <v>190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31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0xC0</v>
      </c>
      <c r="J80" s="20" t="str">
        <f>DEC2HEX(MOD(K80,256))</f>
        <v>C0</v>
      </c>
      <c r="K80" s="37">
        <f>L70+M70</f>
        <v>192</v>
      </c>
      <c r="L80" s="37"/>
    </row>
    <row r="81" spans="1:12" s="20" customFormat="1" x14ac:dyDescent="0.25">
      <c r="A81" s="31" t="s">
        <v>184</v>
      </c>
      <c r="B81" s="32" t="s">
        <v>159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0x00</v>
      </c>
      <c r="J81" s="20" t="str">
        <f>DEC2HEX((K80-MOD(K80,256))/256)</f>
        <v>0</v>
      </c>
      <c r="K81" s="37"/>
      <c r="L81" s="37"/>
    </row>
    <row r="82" spans="1:12" s="20" customFormat="1" x14ac:dyDescent="0.25">
      <c r="A82" s="31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193</v>
      </c>
      <c r="G82" s="22" t="s">
        <v>38</v>
      </c>
      <c r="H82" s="21" t="s">
        <v>33</v>
      </c>
      <c r="I82" s="21" t="str">
        <f t="shared" si="0"/>
        <v>0x3F</v>
      </c>
      <c r="J82" s="20" t="str">
        <f>DEC2HEX(MOD(K82,256))</f>
        <v>3F</v>
      </c>
      <c r="K82" s="37">
        <f>L70+M70+N70-1</f>
        <v>2111</v>
      </c>
      <c r="L82" s="37"/>
    </row>
    <row r="83" spans="1:12" s="20" customFormat="1" x14ac:dyDescent="0.25">
      <c r="A83" s="31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0x08</v>
      </c>
      <c r="J83" s="20" t="str">
        <f>DEC2HEX((K82-MOD(K82,256))/256)</f>
        <v>8</v>
      </c>
      <c r="K83" s="37"/>
      <c r="L83" s="37"/>
    </row>
    <row r="84" spans="1:12" s="20" customFormat="1" x14ac:dyDescent="0.25">
      <c r="A84" s="31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0x29</v>
      </c>
      <c r="J84" s="20" t="str">
        <f>DEC2HEX(MOD(K84,256))</f>
        <v>29</v>
      </c>
      <c r="K84" s="37">
        <f>L73+M73</f>
        <v>41</v>
      </c>
      <c r="L84" s="37"/>
    </row>
    <row r="85" spans="1:12" s="20" customFormat="1" x14ac:dyDescent="0.25">
      <c r="A85" s="31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31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284</v>
      </c>
      <c r="G86" s="22" t="s">
        <v>38</v>
      </c>
      <c r="H86" s="21" t="s">
        <v>33</v>
      </c>
      <c r="I86" s="21" t="str">
        <f t="shared" si="0"/>
        <v>0x60</v>
      </c>
      <c r="J86" s="20" t="str">
        <f>DEC2HEX(MOD(K86,256))</f>
        <v>60</v>
      </c>
      <c r="K86" s="37">
        <f>L73+M73+N73-1</f>
        <v>1120</v>
      </c>
      <c r="L86" s="37"/>
    </row>
    <row r="87" spans="1:12" s="20" customFormat="1" x14ac:dyDescent="0.25">
      <c r="A87" s="31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284</v>
      </c>
      <c r="G87" s="24" t="s">
        <v>40</v>
      </c>
      <c r="H87" s="21" t="s">
        <v>33</v>
      </c>
      <c r="I87" s="21" t="str">
        <f t="shared" si="0"/>
        <v>0x04</v>
      </c>
      <c r="J87" s="20" t="str">
        <f>DEC2HEX((K86-MOD(K86,256))/256)</f>
        <v>4</v>
      </c>
      <c r="K87" s="37"/>
      <c r="L87" s="37"/>
    </row>
    <row r="88" spans="1:12" s="20" customFormat="1" x14ac:dyDescent="0.25">
      <c r="A88" s="31" t="s">
        <v>184</v>
      </c>
      <c r="B88" s="50" t="s">
        <v>197</v>
      </c>
      <c r="C88" s="32" t="s">
        <v>196</v>
      </c>
      <c r="D88" s="21" t="s">
        <v>302</v>
      </c>
      <c r="E88" s="21" t="s">
        <v>37</v>
      </c>
      <c r="F88" s="21" t="s">
        <v>275</v>
      </c>
      <c r="G88" s="22" t="s">
        <v>38</v>
      </c>
      <c r="H88" s="21" t="s">
        <v>33</v>
      </c>
      <c r="I88" s="21" t="str">
        <f t="shared" si="0"/>
        <v>0xC0</v>
      </c>
      <c r="J88" s="20" t="str">
        <f>DEC2HEX(MOD(K88,256))</f>
        <v>C0</v>
      </c>
      <c r="K88" s="37">
        <f>L70+M70</f>
        <v>192</v>
      </c>
      <c r="L88" s="37"/>
    </row>
    <row r="89" spans="1:12" s="20" customFormat="1" x14ac:dyDescent="0.25">
      <c r="A89" s="31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275</v>
      </c>
      <c r="G89" s="24" t="s">
        <v>40</v>
      </c>
      <c r="H89" s="21" t="s">
        <v>33</v>
      </c>
      <c r="I89" s="21" t="str">
        <f t="shared" si="0"/>
        <v>0x00</v>
      </c>
      <c r="J89" s="20" t="str">
        <f>DEC2HEX((K88-MOD(K88,256))/256)</f>
        <v>0</v>
      </c>
      <c r="K89" s="37"/>
      <c r="L89" s="37"/>
    </row>
    <row r="90" spans="1:12" s="20" customFormat="1" x14ac:dyDescent="0.25">
      <c r="A90" s="31" t="s">
        <v>184</v>
      </c>
      <c r="B90" s="50" t="s">
        <v>198</v>
      </c>
      <c r="C90" s="32" t="s">
        <v>196</v>
      </c>
      <c r="D90" s="21" t="s">
        <v>302</v>
      </c>
      <c r="E90" s="21" t="s">
        <v>37</v>
      </c>
      <c r="F90" s="21" t="s">
        <v>278</v>
      </c>
      <c r="G90" s="22" t="s">
        <v>38</v>
      </c>
      <c r="H90" s="21" t="s">
        <v>33</v>
      </c>
      <c r="I90" s="21" t="str">
        <f t="shared" si="0"/>
        <v>0x3F</v>
      </c>
      <c r="J90" s="20" t="str">
        <f>DEC2HEX(MOD(K90,256))</f>
        <v>3F</v>
      </c>
      <c r="K90" s="37">
        <f>L70+M70+N70-1</f>
        <v>2111</v>
      </c>
      <c r="L90" s="37"/>
    </row>
    <row r="91" spans="1:12" s="20" customFormat="1" x14ac:dyDescent="0.25">
      <c r="A91" s="31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278</v>
      </c>
      <c r="G91" s="24" t="s">
        <v>40</v>
      </c>
      <c r="H91" s="21" t="s">
        <v>33</v>
      </c>
      <c r="I91" s="21" t="str">
        <f t="shared" si="0"/>
        <v>0x08</v>
      </c>
      <c r="J91" s="20" t="str">
        <f>DEC2HEX((K90-MOD(K90,256))/256)</f>
        <v>8</v>
      </c>
      <c r="K91" s="37"/>
      <c r="L91" s="37"/>
    </row>
    <row r="92" spans="1:12" s="20" customFormat="1" x14ac:dyDescent="0.25">
      <c r="A92" s="31" t="s">
        <v>184</v>
      </c>
      <c r="B92" s="50" t="s">
        <v>199</v>
      </c>
      <c r="C92" s="32" t="s">
        <v>196</v>
      </c>
      <c r="D92" s="21" t="s">
        <v>302</v>
      </c>
      <c r="E92" s="21" t="s">
        <v>37</v>
      </c>
      <c r="F92" s="21" t="s">
        <v>289</v>
      </c>
      <c r="G92" s="22" t="s">
        <v>38</v>
      </c>
      <c r="H92" s="21" t="s">
        <v>33</v>
      </c>
      <c r="I92" s="21" t="str">
        <f t="shared" si="0"/>
        <v>0x29</v>
      </c>
      <c r="J92" s="20" t="str">
        <f>DEC2HEX(MOD(K92,256))</f>
        <v>29</v>
      </c>
      <c r="K92" s="37">
        <f>L73+M73</f>
        <v>41</v>
      </c>
      <c r="L92" s="37"/>
    </row>
    <row r="93" spans="1:12" s="20" customFormat="1" x14ac:dyDescent="0.25">
      <c r="A93" s="31" t="s">
        <v>184</v>
      </c>
      <c r="B93" s="50" t="s">
        <v>200</v>
      </c>
      <c r="C93" s="32"/>
      <c r="D93" s="21" t="s">
        <v>302</v>
      </c>
      <c r="E93" s="21" t="s">
        <v>37</v>
      </c>
      <c r="F93" s="21" t="s">
        <v>287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31" t="s">
        <v>184</v>
      </c>
      <c r="B94" s="50" t="s">
        <v>201</v>
      </c>
      <c r="C94" s="32" t="s">
        <v>196</v>
      </c>
      <c r="D94" s="21" t="s">
        <v>302</v>
      </c>
      <c r="E94" s="21" t="s">
        <v>37</v>
      </c>
      <c r="F94" s="21" t="s">
        <v>281</v>
      </c>
      <c r="G94" s="22" t="s">
        <v>38</v>
      </c>
      <c r="H94" s="21" t="s">
        <v>33</v>
      </c>
      <c r="I94" s="21" t="str">
        <f t="shared" si="0"/>
        <v>0x60</v>
      </c>
      <c r="J94" s="20" t="str">
        <f>DEC2HEX(MOD(K94,256))</f>
        <v>60</v>
      </c>
      <c r="K94" s="37">
        <f>L73+M73+N73-1</f>
        <v>1120</v>
      </c>
      <c r="L94" s="37"/>
    </row>
    <row r="95" spans="1:12" s="20" customFormat="1" x14ac:dyDescent="0.25">
      <c r="A95" s="31" t="s">
        <v>184</v>
      </c>
      <c r="B95" s="50" t="s">
        <v>202</v>
      </c>
      <c r="C95" s="32"/>
      <c r="D95" s="21" t="s">
        <v>302</v>
      </c>
      <c r="E95" s="21" t="s">
        <v>37</v>
      </c>
      <c r="F95" s="21" t="s">
        <v>281</v>
      </c>
      <c r="G95" s="24" t="s">
        <v>40</v>
      </c>
      <c r="H95" s="21" t="s">
        <v>33</v>
      </c>
      <c r="I95" s="21" t="str">
        <f t="shared" si="0"/>
        <v>0x04</v>
      </c>
      <c r="J95" s="20" t="str">
        <f>DEC2HEX((K94-MOD(K94,256))/256)</f>
        <v>4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222</v>
      </c>
      <c r="G96" s="22" t="s">
        <v>38</v>
      </c>
      <c r="H96" s="21" t="s">
        <v>33</v>
      </c>
      <c r="I96" s="21" t="s">
        <v>164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364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31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207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31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208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31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0x2B</v>
      </c>
      <c r="J103" s="20" t="str">
        <f>DEC2HEX(MOD(K103,256))</f>
        <v>2B</v>
      </c>
      <c r="K103" s="37">
        <f>L70-1</f>
        <v>43</v>
      </c>
      <c r="L103" s="37"/>
    </row>
    <row r="104" spans="1:12" s="20" customFormat="1" x14ac:dyDescent="0.25">
      <c r="A104" s="31" t="s">
        <v>184</v>
      </c>
      <c r="B104" s="32" t="s">
        <v>206</v>
      </c>
      <c r="C104" s="32"/>
      <c r="D104" s="21" t="s">
        <v>302</v>
      </c>
      <c r="E104" s="21" t="s">
        <v>37</v>
      </c>
      <c r="F104" s="21" t="s">
        <v>209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31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0xC0</v>
      </c>
      <c r="J105" s="20" t="str">
        <f>DEC2HEX(MOD(K105,256))</f>
        <v>C0</v>
      </c>
      <c r="K105" s="37">
        <f>L70+M70</f>
        <v>192</v>
      </c>
      <c r="L105" s="37"/>
    </row>
    <row r="106" spans="1:12" s="20" customFormat="1" x14ac:dyDescent="0.25">
      <c r="A106" s="31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218</v>
      </c>
      <c r="G106" s="24" t="s">
        <v>40</v>
      </c>
      <c r="H106" s="21" t="s">
        <v>33</v>
      </c>
      <c r="I106" s="21" t="str">
        <f t="shared" si="1"/>
        <v>0x00</v>
      </c>
      <c r="J106" s="20" t="str">
        <f>DEC2HEX((K105-MOD(K105,256))/256)</f>
        <v>0</v>
      </c>
      <c r="K106" s="37"/>
      <c r="L106" s="37"/>
    </row>
    <row r="107" spans="1:12" s="20" customFormat="1" x14ac:dyDescent="0.25">
      <c r="A107" s="31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0x3F</v>
      </c>
      <c r="J107" s="20" t="str">
        <f>DEC2HEX(MOD(K107,256))</f>
        <v>3F</v>
      </c>
      <c r="K107" s="37">
        <f>L70+M70+N70-1</f>
        <v>2111</v>
      </c>
      <c r="L107" s="37"/>
    </row>
    <row r="108" spans="1:12" s="20" customFormat="1" x14ac:dyDescent="0.25">
      <c r="A108" s="31" t="s">
        <v>184</v>
      </c>
      <c r="B108" s="32" t="s">
        <v>213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0x08</v>
      </c>
      <c r="J108" s="20" t="str">
        <f>DEC2HEX((K107-MOD(K107,256))/256)</f>
        <v>8</v>
      </c>
      <c r="K108" s="37"/>
      <c r="L108" s="37"/>
    </row>
    <row r="109" spans="1:12" s="20" customFormat="1" x14ac:dyDescent="0.25">
      <c r="A109" s="31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220</v>
      </c>
      <c r="G109" s="22" t="s">
        <v>38</v>
      </c>
      <c r="H109" s="21" t="s">
        <v>33</v>
      </c>
      <c r="I109" s="21" t="str">
        <f t="shared" si="1"/>
        <v>0x29</v>
      </c>
      <c r="J109" s="20" t="str">
        <f>DEC2HEX(MOD(K109,256))</f>
        <v>29</v>
      </c>
      <c r="K109" s="37">
        <f>L73+M73</f>
        <v>41</v>
      </c>
      <c r="L109" s="37"/>
    </row>
    <row r="110" spans="1:12" s="20" customFormat="1" x14ac:dyDescent="0.25">
      <c r="A110" s="31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31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295</v>
      </c>
      <c r="G111" s="22" t="s">
        <v>38</v>
      </c>
      <c r="H111" s="21" t="s">
        <v>33</v>
      </c>
      <c r="I111" s="21" t="str">
        <f t="shared" si="1"/>
        <v>0x60</v>
      </c>
      <c r="J111" s="20" t="str">
        <f>DEC2HEX(MOD(K111,256))</f>
        <v>60</v>
      </c>
      <c r="K111" s="37">
        <f>L73+M73+N73-1</f>
        <v>1120</v>
      </c>
      <c r="L111" s="37"/>
    </row>
    <row r="112" spans="1:12" s="20" customFormat="1" x14ac:dyDescent="0.25">
      <c r="A112" s="31" t="s">
        <v>184</v>
      </c>
      <c r="B112" s="32" t="s">
        <v>216</v>
      </c>
      <c r="C112" s="32"/>
      <c r="D112" s="21" t="s">
        <v>302</v>
      </c>
      <c r="E112" s="21" t="s">
        <v>37</v>
      </c>
      <c r="F112" s="21" t="s">
        <v>294</v>
      </c>
      <c r="G112" s="24" t="s">
        <v>40</v>
      </c>
      <c r="H112" s="21" t="s">
        <v>33</v>
      </c>
      <c r="I112" s="21" t="str">
        <f t="shared" si="1"/>
        <v>0x04</v>
      </c>
      <c r="J112" s="20" t="str">
        <f>DEC2HEX((K111-MOD(K111,256))/256)</f>
        <v>4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517</v>
      </c>
      <c r="C119" s="32" t="s">
        <v>519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410</v>
      </c>
      <c r="B122" s="50" t="s">
        <v>360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359</v>
      </c>
      <c r="I122" s="21" t="s">
        <v>41</v>
      </c>
      <c r="K122" s="37"/>
      <c r="L122" s="37"/>
    </row>
    <row r="123" spans="1:12" s="20" customFormat="1" x14ac:dyDescent="0.25">
      <c r="A123" s="31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384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390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309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390</v>
      </c>
      <c r="C125" s="32" t="s">
        <v>223</v>
      </c>
      <c r="D125" s="21" t="s">
        <v>305</v>
      </c>
      <c r="E125" s="21" t="s">
        <v>37</v>
      </c>
      <c r="F125" s="21" t="s">
        <v>171</v>
      </c>
      <c r="G125" s="24" t="s">
        <v>309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393</v>
      </c>
      <c r="C126" s="32" t="s">
        <v>223</v>
      </c>
      <c r="D126" s="21" t="s">
        <v>305</v>
      </c>
      <c r="E126" s="21" t="s">
        <v>37</v>
      </c>
      <c r="F126" s="21" t="s">
        <v>397</v>
      </c>
      <c r="G126" s="22" t="s">
        <v>38</v>
      </c>
      <c r="H126" s="21" t="s">
        <v>400</v>
      </c>
      <c r="I126" s="21" t="s">
        <v>403</v>
      </c>
      <c r="K126" s="37"/>
      <c r="L126" s="37"/>
    </row>
    <row r="127" spans="1:12" s="20" customFormat="1" x14ac:dyDescent="0.25">
      <c r="A127" s="31" t="s">
        <v>184</v>
      </c>
      <c r="B127" s="50" t="s">
        <v>393</v>
      </c>
      <c r="C127" s="32" t="s">
        <v>223</v>
      </c>
      <c r="D127" s="21" t="s">
        <v>305</v>
      </c>
      <c r="E127" s="21" t="s">
        <v>37</v>
      </c>
      <c r="F127" s="21" t="s">
        <v>397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31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311</v>
      </c>
      <c r="K128" s="37"/>
      <c r="L128" s="37"/>
    </row>
    <row r="129" spans="1:12" s="20" customFormat="1" x14ac:dyDescent="0.25">
      <c r="A129" s="31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121</v>
      </c>
      <c r="G129" s="24" t="s">
        <v>40</v>
      </c>
      <c r="H129" s="21" t="s">
        <v>33</v>
      </c>
      <c r="I129" s="21" t="s">
        <v>311</v>
      </c>
      <c r="K129" s="37"/>
      <c r="L129" s="37"/>
    </row>
    <row r="130" spans="1:12" s="20" customFormat="1" x14ac:dyDescent="0.25">
      <c r="A130" s="31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311</v>
      </c>
      <c r="K130" s="37"/>
      <c r="L130" s="37"/>
    </row>
    <row r="131" spans="1:12" s="20" customFormat="1" x14ac:dyDescent="0.25">
      <c r="A131" s="31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311</v>
      </c>
      <c r="K131" s="37"/>
      <c r="L131" s="37"/>
    </row>
    <row r="132" spans="1:12" s="20" customFormat="1" x14ac:dyDescent="0.25">
      <c r="A132" s="31" t="s">
        <v>487</v>
      </c>
      <c r="B132" s="32" t="s">
        <v>452</v>
      </c>
      <c r="C132" s="32"/>
      <c r="D132" s="21" t="s">
        <v>308</v>
      </c>
      <c r="E132" s="21" t="s">
        <v>37</v>
      </c>
      <c r="F132" s="21" t="s">
        <v>488</v>
      </c>
      <c r="G132" s="22" t="s">
        <v>38</v>
      </c>
      <c r="H132" s="21" t="s">
        <v>455</v>
      </c>
      <c r="I132" s="21" t="s">
        <v>489</v>
      </c>
      <c r="K132" s="37"/>
      <c r="L132" s="37"/>
    </row>
    <row r="133" spans="1:12" s="20" customFormat="1" x14ac:dyDescent="0.25">
      <c r="A133" s="31" t="s">
        <v>487</v>
      </c>
      <c r="B133" s="32" t="s">
        <v>465</v>
      </c>
      <c r="C133" s="32"/>
      <c r="D133" s="21" t="s">
        <v>308</v>
      </c>
      <c r="E133" s="21" t="s">
        <v>37</v>
      </c>
      <c r="F133" s="21" t="s">
        <v>490</v>
      </c>
      <c r="G133" s="24" t="s">
        <v>491</v>
      </c>
      <c r="H133" s="21" t="s">
        <v>455</v>
      </c>
      <c r="I133" s="21" t="s">
        <v>466</v>
      </c>
      <c r="K133" s="37"/>
      <c r="L133" s="37"/>
    </row>
    <row r="134" spans="1:12" s="20" customFormat="1" x14ac:dyDescent="0.25">
      <c r="A134" s="31" t="s">
        <v>487</v>
      </c>
      <c r="B134" s="32" t="s">
        <v>492</v>
      </c>
      <c r="C134" s="32"/>
      <c r="D134" s="21" t="s">
        <v>308</v>
      </c>
      <c r="E134" s="21" t="s">
        <v>37</v>
      </c>
      <c r="F134" s="21" t="s">
        <v>457</v>
      </c>
      <c r="G134" s="22" t="s">
        <v>38</v>
      </c>
      <c r="H134" s="21" t="s">
        <v>493</v>
      </c>
      <c r="I134" s="21" t="s">
        <v>488</v>
      </c>
      <c r="K134" s="37"/>
      <c r="L134" s="37"/>
    </row>
    <row r="135" spans="1:12" s="20" customFormat="1" x14ac:dyDescent="0.25">
      <c r="A135" s="31" t="s">
        <v>450</v>
      </c>
      <c r="B135" s="32" t="s">
        <v>463</v>
      </c>
      <c r="C135" s="32"/>
      <c r="D135" s="21" t="s">
        <v>308</v>
      </c>
      <c r="E135" s="21" t="s">
        <v>37</v>
      </c>
      <c r="F135" s="21" t="s">
        <v>494</v>
      </c>
      <c r="G135" s="24" t="s">
        <v>40</v>
      </c>
      <c r="H135" s="21" t="s">
        <v>455</v>
      </c>
      <c r="I135" s="21" t="s">
        <v>494</v>
      </c>
      <c r="K135" s="37"/>
      <c r="L135" s="37"/>
    </row>
    <row r="136" spans="1:12" s="20" customFormat="1" x14ac:dyDescent="0.25">
      <c r="A136" s="31" t="s">
        <v>501</v>
      </c>
      <c r="B136" s="32" t="s">
        <v>504</v>
      </c>
      <c r="C136" s="32"/>
      <c r="D136" s="21" t="s">
        <v>308</v>
      </c>
      <c r="E136" s="21" t="s">
        <v>37</v>
      </c>
      <c r="F136" s="21" t="s">
        <v>513</v>
      </c>
      <c r="G136" s="22" t="s">
        <v>38</v>
      </c>
      <c r="H136" s="21" t="s">
        <v>33</v>
      </c>
      <c r="I136" s="21" t="s">
        <v>283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60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_3"/>
    <protectedRange password="EBC5" sqref="I65 I113:I114 I96:I98 I47:I50 I122:I127 I137:I140 I55:I63" name="範圍1_3_3_1_1_1_2_1_1_2_2_1_1"/>
    <protectedRange password="EBC5" sqref="I32:I36 I39:I41 I51:I52 I64 I128:I131" name="範圍1_3_3_1_1_1_2_1_1_2_1_3"/>
    <protectedRange password="EBC5" sqref="I101:I112 I68:I95" name="範圍1_3_3_1_1_1_2_1_1_2_1_1_2"/>
    <protectedRange password="EBC5" sqref="I42" name="範圍1_3_3_1_1_1_2_1_1_2_2"/>
    <protectedRange password="EBC5" sqref="I43:I46" name="範圍1_3_3_1_1_1_2_1_1_2_1_2"/>
    <protectedRange password="EBC5" sqref="I132:I135" name="範圍1_3_3_1_1_1_2_1_1_2"/>
    <protectedRange password="EBC5" sqref="I136" name="範圍1_3_3_1_1_1_2_1_1_2_1"/>
  </protectedRanges>
  <mergeCells count="11">
    <mergeCell ref="L68:P68"/>
    <mergeCell ref="L71:P71"/>
    <mergeCell ref="L74:P74"/>
    <mergeCell ref="L75:P75"/>
    <mergeCell ref="A99:C99"/>
    <mergeCell ref="A1:C1"/>
    <mergeCell ref="D141:G141"/>
    <mergeCell ref="A53:C53"/>
    <mergeCell ref="A66:C66"/>
    <mergeCell ref="A37:C37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U142"/>
  <sheetViews>
    <sheetView topLeftCell="A60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7.7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300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268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270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274</v>
      </c>
      <c r="G32" s="22" t="s">
        <v>38</v>
      </c>
      <c r="H32" s="21" t="s">
        <v>33</v>
      </c>
      <c r="I32" s="21" t="s">
        <v>41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275</v>
      </c>
      <c r="G33" s="24" t="s">
        <v>40</v>
      </c>
      <c r="H33" s="21" t="s">
        <v>33</v>
      </c>
      <c r="I33" s="21" t="s">
        <v>246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278</v>
      </c>
      <c r="G34" s="22" t="s">
        <v>38</v>
      </c>
      <c r="H34" s="21" t="s">
        <v>33</v>
      </c>
      <c r="I34" s="21" t="s">
        <v>247</v>
      </c>
      <c r="K34" s="37"/>
      <c r="L34" s="37" t="s">
        <v>383</v>
      </c>
      <c r="M34" s="20" t="str">
        <f>IF(I34="0x13","0.5",IF(I34="0x12","1","2"))</f>
        <v>1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407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0x31</v>
      </c>
      <c r="J39" s="20" t="str">
        <f>DEC2HEX(MOD(N39,256))</f>
        <v>31</v>
      </c>
      <c r="K39" s="37" t="str">
        <f>DEC2HEX(N39)</f>
        <v>352C31</v>
      </c>
      <c r="L39" s="78" t="s">
        <v>376</v>
      </c>
      <c r="M39" s="75">
        <f>432*524288/(P70*P73*L75/1000000)</f>
        <v>3484721.7298830203</v>
      </c>
      <c r="N39" s="75">
        <f>(M39*M34)</f>
        <v>3484721.7298830203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0x2C</v>
      </c>
      <c r="J40" s="20" t="str">
        <f>DEC2HEX(MOD((N39-MOD(N39,256))/256,256))</f>
        <v>2C</v>
      </c>
      <c r="K40" s="37"/>
      <c r="L40" s="78" t="s">
        <v>378</v>
      </c>
      <c r="M40" s="75">
        <f>16*524288/(P70*P73)</f>
        <v>7.7438260664067116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0x35</v>
      </c>
      <c r="J41" s="20" t="str">
        <f>DEC2HEX((N39-MOD(N39,256))/65536)</f>
        <v>35</v>
      </c>
      <c r="K41" s="37"/>
      <c r="L41" s="78" t="s">
        <v>382</v>
      </c>
      <c r="M41" s="75">
        <f>IF(M40&gt;16,M40*128, M40*256)</f>
        <v>1982.4194730001182</v>
      </c>
      <c r="N41" s="75"/>
    </row>
    <row r="42" spans="1:14" s="20" customFormat="1" x14ac:dyDescent="0.25">
      <c r="A42" s="68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284</v>
      </c>
      <c r="G42" s="22" t="s">
        <v>38</v>
      </c>
      <c r="H42" s="21" t="s">
        <v>33</v>
      </c>
      <c r="I42" s="21" t="s">
        <v>439</v>
      </c>
      <c r="K42" s="37" t="str">
        <f>DEC2HEX(M41)</f>
        <v>7BE</v>
      </c>
      <c r="L42" s="37"/>
    </row>
    <row r="43" spans="1:14" s="20" customFormat="1" x14ac:dyDescent="0.25">
      <c r="A43" s="68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284</v>
      </c>
      <c r="G43" s="24" t="s">
        <v>40</v>
      </c>
      <c r="H43" s="21" t="s">
        <v>33</v>
      </c>
      <c r="I43" s="21" t="s">
        <v>131</v>
      </c>
      <c r="K43" s="37"/>
      <c r="L43" s="37"/>
    </row>
    <row r="44" spans="1:14" s="20" customFormat="1" x14ac:dyDescent="0.25">
      <c r="A44" s="68" t="s">
        <v>429</v>
      </c>
      <c r="B44" s="50" t="s">
        <v>434</v>
      </c>
      <c r="C44" s="32"/>
      <c r="D44" s="21" t="s">
        <v>305</v>
      </c>
      <c r="E44" s="21" t="s">
        <v>37</v>
      </c>
      <c r="F44" s="21" t="s">
        <v>432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421</v>
      </c>
      <c r="B45" s="50" t="s">
        <v>422</v>
      </c>
      <c r="C45" s="32"/>
      <c r="D45" s="21" t="s">
        <v>302</v>
      </c>
      <c r="E45" s="21" t="s">
        <v>37</v>
      </c>
      <c r="F45" s="21" t="s">
        <v>414</v>
      </c>
      <c r="G45" s="22" t="s">
        <v>38</v>
      </c>
      <c r="H45" s="21" t="s">
        <v>417</v>
      </c>
      <c r="I45" s="21" t="s">
        <v>428</v>
      </c>
      <c r="K45" s="37"/>
      <c r="L45" s="37"/>
    </row>
    <row r="46" spans="1:14" s="20" customFormat="1" x14ac:dyDescent="0.25">
      <c r="A46" s="68" t="s">
        <v>420</v>
      </c>
      <c r="B46" s="50" t="s">
        <v>419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416</v>
      </c>
      <c r="I46" s="21" t="s">
        <v>427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53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163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280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53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41</v>
      </c>
      <c r="K59" s="37"/>
      <c r="L59" s="37"/>
    </row>
    <row r="60" spans="1:12" s="20" customFormat="1" x14ac:dyDescent="0.25">
      <c r="A60" s="31" t="s">
        <v>178</v>
      </c>
      <c r="B60" s="50" t="s">
        <v>353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351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346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523</v>
      </c>
      <c r="C62" s="32"/>
      <c r="D62" s="21" t="s">
        <v>306</v>
      </c>
      <c r="E62" s="21" t="s">
        <v>37</v>
      </c>
      <c r="F62" s="21" t="s">
        <v>528</v>
      </c>
      <c r="G62" s="22" t="s">
        <v>38</v>
      </c>
      <c r="H62" s="21" t="s">
        <v>530</v>
      </c>
      <c r="I62" s="21" t="str">
        <f>IF(L77="NEG","0x01","0x00")</f>
        <v>0x01</v>
      </c>
      <c r="K62" s="37"/>
      <c r="L62" s="37"/>
    </row>
    <row r="63" spans="1:12" s="20" customFormat="1" x14ac:dyDescent="0.25">
      <c r="A63" s="68"/>
      <c r="B63" s="50" t="s">
        <v>527</v>
      </c>
      <c r="C63" s="32"/>
      <c r="D63" s="21" t="s">
        <v>306</v>
      </c>
      <c r="E63" s="21" t="s">
        <v>37</v>
      </c>
      <c r="F63" s="21" t="s">
        <v>528</v>
      </c>
      <c r="G63" s="22" t="s">
        <v>38</v>
      </c>
      <c r="H63" s="21" t="s">
        <v>532</v>
      </c>
      <c r="I63" s="21" t="str">
        <f>IF(M77="NEG","0x02","0x00")</f>
        <v>0x02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0x3F</v>
      </c>
      <c r="J68" s="20" t="str">
        <f>DEC2HEX(MOD(K68,256))</f>
        <v>3F</v>
      </c>
      <c r="K68" s="37">
        <f>P70-1</f>
        <v>1343</v>
      </c>
      <c r="L68" s="85" t="s">
        <v>332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0x05</v>
      </c>
      <c r="J69" s="20" t="str">
        <f>DEC2HEX((K68-MOD(K68,256))/256)</f>
        <v>5</v>
      </c>
      <c r="K69" s="37"/>
      <c r="L69" s="71" t="s">
        <v>313</v>
      </c>
      <c r="M69" s="71" t="s">
        <v>314</v>
      </c>
      <c r="N69" s="71" t="s">
        <v>334</v>
      </c>
      <c r="O69" s="71" t="s">
        <v>335</v>
      </c>
      <c r="P69" s="71" t="s">
        <v>336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0x25</v>
      </c>
      <c r="J70" s="20" t="str">
        <f>DEC2HEX(MOD(K70,256))</f>
        <v>25</v>
      </c>
      <c r="K70" s="37">
        <f>P73-1</f>
        <v>805</v>
      </c>
      <c r="L70" s="72">
        <v>136</v>
      </c>
      <c r="M70" s="72">
        <v>160</v>
      </c>
      <c r="N70" s="72">
        <v>1024</v>
      </c>
      <c r="O70" s="72">
        <f>P70-N70-M70-L70</f>
        <v>24</v>
      </c>
      <c r="P70" s="72">
        <v>1344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0x03</v>
      </c>
      <c r="J71" s="20" t="str">
        <f>DEC2HEX((K70-MOD(K70,256))/256)</f>
        <v>3</v>
      </c>
      <c r="K71" s="37"/>
      <c r="L71" s="85" t="s">
        <v>328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313</v>
      </c>
      <c r="M72" s="71" t="s">
        <v>333</v>
      </c>
      <c r="N72" s="71" t="s">
        <v>315</v>
      </c>
      <c r="O72" s="71" t="s">
        <v>335</v>
      </c>
      <c r="P72" s="71" t="s">
        <v>337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6</v>
      </c>
      <c r="M73" s="72">
        <v>29</v>
      </c>
      <c r="N73" s="72">
        <v>768</v>
      </c>
      <c r="O73" s="72">
        <f>P73-N73-M73-L73</f>
        <v>3</v>
      </c>
      <c r="P73" s="72">
        <v>806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0x87</v>
      </c>
      <c r="J74" s="20" t="str">
        <f>DEC2HEX(MOD(K74,256))</f>
        <v>87</v>
      </c>
      <c r="K74" s="37">
        <f>L70-1</f>
        <v>135</v>
      </c>
      <c r="L74" s="85" t="s">
        <v>331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60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535</v>
      </c>
      <c r="M76" s="80" t="s">
        <v>536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539</v>
      </c>
      <c r="M77" s="72" t="s">
        <v>538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0x05</v>
      </c>
      <c r="J78" s="20" t="str">
        <f>DEC2HEX(MOD(K78,256))</f>
        <v>5</v>
      </c>
      <c r="K78" s="37">
        <f>L73-1</f>
        <v>5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0x28</v>
      </c>
      <c r="J80" s="20" t="str">
        <f>DEC2HEX(MOD(K80,256))</f>
        <v>28</v>
      </c>
      <c r="K80" s="37">
        <f>L70+M70</f>
        <v>296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0x01</v>
      </c>
      <c r="J81" s="20" t="str">
        <f>DEC2HEX((K80-MOD(K80,256))/256)</f>
        <v>1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0x27</v>
      </c>
      <c r="J82" s="20" t="str">
        <f>DEC2HEX(MOD(K82,256))</f>
        <v>27</v>
      </c>
      <c r="K82" s="37">
        <f>L70+M70+N70-1</f>
        <v>1319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0x05</v>
      </c>
      <c r="J83" s="20" t="str">
        <f>DEC2HEX((K82-MOD(K82,256))/256)</f>
        <v>5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0x23</v>
      </c>
      <c r="J84" s="20" t="str">
        <f>DEC2HEX(MOD(K84,256))</f>
        <v>23</v>
      </c>
      <c r="K84" s="37">
        <f>L73+M73</f>
        <v>35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284</v>
      </c>
      <c r="G86" s="22" t="s">
        <v>38</v>
      </c>
      <c r="H86" s="21" t="s">
        <v>33</v>
      </c>
      <c r="I86" s="21" t="str">
        <f t="shared" si="0"/>
        <v>0x22</v>
      </c>
      <c r="J86" s="20" t="str">
        <f>DEC2HEX(MOD(K86,256))</f>
        <v>22</v>
      </c>
      <c r="K86" s="37">
        <f>L73+M73+N73-1</f>
        <v>802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284</v>
      </c>
      <c r="G87" s="24" t="s">
        <v>40</v>
      </c>
      <c r="H87" s="21" t="s">
        <v>33</v>
      </c>
      <c r="I87" s="21" t="str">
        <f t="shared" si="0"/>
        <v>0x03</v>
      </c>
      <c r="J87" s="20" t="str">
        <f>DEC2HEX((K86-MOD(K86,256))/256)</f>
        <v>3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274</v>
      </c>
      <c r="G88" s="22" t="s">
        <v>38</v>
      </c>
      <c r="H88" s="21" t="s">
        <v>33</v>
      </c>
      <c r="I88" s="21" t="str">
        <f t="shared" si="0"/>
        <v>0x28</v>
      </c>
      <c r="J88" s="20" t="str">
        <f>DEC2HEX(MOD(K88,256))</f>
        <v>28</v>
      </c>
      <c r="K88" s="37">
        <f>L70+M70</f>
        <v>296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274</v>
      </c>
      <c r="G89" s="24" t="s">
        <v>40</v>
      </c>
      <c r="H89" s="21" t="s">
        <v>33</v>
      </c>
      <c r="I89" s="21" t="str">
        <f t="shared" si="0"/>
        <v>0x01</v>
      </c>
      <c r="J89" s="20" t="str">
        <f>DEC2HEX((K88-MOD(K88,256))/256)</f>
        <v>1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0x27</v>
      </c>
      <c r="J90" s="20" t="str">
        <f>DEC2HEX(MOD(K90,256))</f>
        <v>27</v>
      </c>
      <c r="K90" s="37">
        <f>L70+M70+N70-1</f>
        <v>1319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0x05</v>
      </c>
      <c r="J91" s="20" t="str">
        <f>DEC2HEX((K90-MOD(K90,256))/256)</f>
        <v>5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0x23</v>
      </c>
      <c r="J92" s="20" t="str">
        <f>DEC2HEX(MOD(K92,256))</f>
        <v>23</v>
      </c>
      <c r="K92" s="37">
        <f>L73+M73</f>
        <v>35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287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281</v>
      </c>
      <c r="G94" s="22" t="s">
        <v>38</v>
      </c>
      <c r="H94" s="21" t="s">
        <v>33</v>
      </c>
      <c r="I94" s="21" t="str">
        <f t="shared" si="0"/>
        <v>0x22</v>
      </c>
      <c r="J94" s="20" t="str">
        <f>DEC2HEX(MOD(K94,256))</f>
        <v>22</v>
      </c>
      <c r="K94" s="37">
        <f>L73+M73+N73-1</f>
        <v>802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281</v>
      </c>
      <c r="G95" s="24" t="s">
        <v>40</v>
      </c>
      <c r="H95" s="21" t="s">
        <v>33</v>
      </c>
      <c r="I95" s="21" t="str">
        <f t="shared" si="0"/>
        <v>0x03</v>
      </c>
      <c r="J95" s="20" t="str">
        <f>DEC2HEX((K94-MOD(K94,256))/256)</f>
        <v>3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364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0x87</v>
      </c>
      <c r="J103" s="20" t="str">
        <f>DEC2HEX(MOD(K103,256))</f>
        <v>87</v>
      </c>
      <c r="K103" s="37">
        <f>L70-1</f>
        <v>135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0x28</v>
      </c>
      <c r="J105" s="20" t="str">
        <f>DEC2HEX(MOD(K105,256))</f>
        <v>28</v>
      </c>
      <c r="K105" s="37">
        <f>L70+M70</f>
        <v>296</v>
      </c>
      <c r="L105" s="37"/>
    </row>
    <row r="106" spans="1:12" s="20" customFormat="1" x14ac:dyDescent="0.25">
      <c r="A106" s="68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0x01</v>
      </c>
      <c r="J106" s="20" t="str">
        <f>DEC2HEX((K105-MOD(K105,256))/256)</f>
        <v>1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0x27</v>
      </c>
      <c r="J107" s="20" t="str">
        <f>DEC2HEX(MOD(K107,256))</f>
        <v>27</v>
      </c>
      <c r="K107" s="37">
        <f>L70+M70+N70-1</f>
        <v>1319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0x05</v>
      </c>
      <c r="J108" s="20" t="str">
        <f>DEC2HEX((K107-MOD(K107,256))/256)</f>
        <v>5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0x23</v>
      </c>
      <c r="J109" s="20" t="str">
        <f>DEC2HEX(MOD(K109,256))</f>
        <v>23</v>
      </c>
      <c r="K109" s="37">
        <f>L73+M73</f>
        <v>35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295</v>
      </c>
      <c r="G111" s="22" t="s">
        <v>38</v>
      </c>
      <c r="H111" s="21" t="s">
        <v>33</v>
      </c>
      <c r="I111" s="21" t="str">
        <f t="shared" si="1"/>
        <v>0x22</v>
      </c>
      <c r="J111" s="20" t="str">
        <f>DEC2HEX(MOD(K111,256))</f>
        <v>22</v>
      </c>
      <c r="K111" s="37">
        <f>L73+M73+N73-1</f>
        <v>802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294</v>
      </c>
      <c r="G112" s="24" t="s">
        <v>40</v>
      </c>
      <c r="H112" s="21" t="s">
        <v>33</v>
      </c>
      <c r="I112" s="21" t="str">
        <f t="shared" si="1"/>
        <v>0x03</v>
      </c>
      <c r="J112" s="20" t="str">
        <f>DEC2HEX((K111-MOD(K111,256))/256)</f>
        <v>3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517</v>
      </c>
      <c r="C119" s="32" t="s">
        <v>519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410</v>
      </c>
      <c r="B122" s="50" t="s">
        <v>361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351</v>
      </c>
      <c r="I122" s="21" t="s">
        <v>41</v>
      </c>
      <c r="K122" s="37"/>
      <c r="L122" s="37"/>
    </row>
    <row r="123" spans="1:12" s="20" customFormat="1" x14ac:dyDescent="0.25">
      <c r="A123" s="68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385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389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310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389</v>
      </c>
      <c r="C125" s="32" t="s">
        <v>223</v>
      </c>
      <c r="D125" s="21" t="s">
        <v>305</v>
      </c>
      <c r="E125" s="21" t="s">
        <v>37</v>
      </c>
      <c r="F125" s="21" t="s">
        <v>53</v>
      </c>
      <c r="G125" s="24" t="s">
        <v>310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393</v>
      </c>
      <c r="C126" s="32" t="s">
        <v>223</v>
      </c>
      <c r="D126" s="21" t="s">
        <v>305</v>
      </c>
      <c r="E126" s="21" t="s">
        <v>37</v>
      </c>
      <c r="F126" s="21" t="s">
        <v>396</v>
      </c>
      <c r="G126" s="22" t="s">
        <v>38</v>
      </c>
      <c r="H126" s="21" t="s">
        <v>399</v>
      </c>
      <c r="I126" s="21" t="s">
        <v>404</v>
      </c>
      <c r="K126" s="37"/>
      <c r="L126" s="37"/>
    </row>
    <row r="127" spans="1:12" s="20" customFormat="1" x14ac:dyDescent="0.25">
      <c r="A127" s="31" t="s">
        <v>184</v>
      </c>
      <c r="B127" s="50" t="s">
        <v>393</v>
      </c>
      <c r="C127" s="32" t="s">
        <v>223</v>
      </c>
      <c r="D127" s="21" t="s">
        <v>305</v>
      </c>
      <c r="E127" s="21" t="s">
        <v>37</v>
      </c>
      <c r="F127" s="21" t="s">
        <v>396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39</v>
      </c>
      <c r="K128" s="37"/>
      <c r="L128" s="37"/>
    </row>
    <row r="129" spans="1:12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39</v>
      </c>
      <c r="K129" s="37"/>
      <c r="L129" s="37"/>
    </row>
    <row r="130" spans="1:12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39</v>
      </c>
      <c r="K130" s="37"/>
      <c r="L130" s="37"/>
    </row>
    <row r="131" spans="1:12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39</v>
      </c>
      <c r="K131" s="37"/>
      <c r="L131" s="37"/>
    </row>
    <row r="132" spans="1:12" s="20" customFormat="1" x14ac:dyDescent="0.25">
      <c r="A132" s="31" t="s">
        <v>450</v>
      </c>
      <c r="B132" s="32" t="s">
        <v>452</v>
      </c>
      <c r="C132" s="32"/>
      <c r="D132" s="21" t="s">
        <v>308</v>
      </c>
      <c r="E132" s="21" t="s">
        <v>37</v>
      </c>
      <c r="F132" s="21" t="s">
        <v>480</v>
      </c>
      <c r="G132" s="22" t="s">
        <v>38</v>
      </c>
      <c r="H132" s="21" t="s">
        <v>455</v>
      </c>
      <c r="I132" s="21" t="s">
        <v>457</v>
      </c>
      <c r="K132" s="37"/>
      <c r="L132" s="37"/>
    </row>
    <row r="133" spans="1:12" s="20" customFormat="1" x14ac:dyDescent="0.25">
      <c r="A133" s="31" t="s">
        <v>476</v>
      </c>
      <c r="B133" s="32" t="s">
        <v>465</v>
      </c>
      <c r="C133" s="32"/>
      <c r="D133" s="21" t="s">
        <v>308</v>
      </c>
      <c r="E133" s="21" t="s">
        <v>37</v>
      </c>
      <c r="F133" s="21" t="s">
        <v>453</v>
      </c>
      <c r="G133" s="24" t="s">
        <v>40</v>
      </c>
      <c r="H133" s="21" t="s">
        <v>455</v>
      </c>
      <c r="I133" s="21" t="s">
        <v>466</v>
      </c>
      <c r="K133" s="37"/>
      <c r="L133" s="37"/>
    </row>
    <row r="134" spans="1:12" s="20" customFormat="1" x14ac:dyDescent="0.25">
      <c r="A134" s="31" t="s">
        <v>481</v>
      </c>
      <c r="B134" s="32" t="s">
        <v>467</v>
      </c>
      <c r="C134" s="32"/>
      <c r="D134" s="21" t="s">
        <v>308</v>
      </c>
      <c r="E134" s="21" t="s">
        <v>37</v>
      </c>
      <c r="F134" s="21" t="s">
        <v>482</v>
      </c>
      <c r="G134" s="22" t="s">
        <v>38</v>
      </c>
      <c r="H134" s="21" t="s">
        <v>483</v>
      </c>
      <c r="I134" s="21" t="s">
        <v>453</v>
      </c>
      <c r="K134" s="37"/>
      <c r="L134" s="37"/>
    </row>
    <row r="135" spans="1:12" s="20" customFormat="1" x14ac:dyDescent="0.25">
      <c r="A135" s="31" t="s">
        <v>484</v>
      </c>
      <c r="B135" s="32" t="s">
        <v>463</v>
      </c>
      <c r="C135" s="32"/>
      <c r="D135" s="21" t="s">
        <v>308</v>
      </c>
      <c r="E135" s="21" t="s">
        <v>37</v>
      </c>
      <c r="F135" s="21" t="s">
        <v>457</v>
      </c>
      <c r="G135" s="24" t="s">
        <v>485</v>
      </c>
      <c r="H135" s="21" t="s">
        <v>486</v>
      </c>
      <c r="I135" s="21" t="s">
        <v>457</v>
      </c>
      <c r="K135" s="37"/>
      <c r="L135" s="37"/>
    </row>
    <row r="136" spans="1:12" s="20" customFormat="1" x14ac:dyDescent="0.25">
      <c r="A136" s="31" t="s">
        <v>450</v>
      </c>
      <c r="B136" s="32" t="s">
        <v>504</v>
      </c>
      <c r="C136" s="32"/>
      <c r="D136" s="21" t="s">
        <v>308</v>
      </c>
      <c r="E136" s="21" t="s">
        <v>37</v>
      </c>
      <c r="F136" s="21" t="s">
        <v>505</v>
      </c>
      <c r="G136" s="22" t="s">
        <v>38</v>
      </c>
      <c r="H136" s="21" t="s">
        <v>33</v>
      </c>
      <c r="I136" s="21" t="s">
        <v>283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74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"/>
    <protectedRange password="EBC5" sqref="I39:I41" name="範圍1_3_3_1_1_1_2_1_1_2_1_1"/>
    <protectedRange password="EBC5" sqref="I101:I112 I68:I95" name="範圍1_3_3_1_1_1_2_1_1_2_1_1_2"/>
    <protectedRange password="EBC5" sqref="I132:I135" name="範圍1_3_3_1_1_1_2_1_1_2_3"/>
    <protectedRange password="EBC5" sqref="I136" name="範圍1_3_3_1_1_1_2_1_1_2_4"/>
  </protectedRanges>
  <mergeCells count="11">
    <mergeCell ref="L68:P68"/>
    <mergeCell ref="L71:P71"/>
    <mergeCell ref="L74:P74"/>
    <mergeCell ref="L75:P75"/>
    <mergeCell ref="A99:C99"/>
    <mergeCell ref="A1:C1"/>
    <mergeCell ref="A53:C53"/>
    <mergeCell ref="A66:C66"/>
    <mergeCell ref="D141:G141"/>
    <mergeCell ref="A37:C37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FF00"/>
  </sheetPr>
  <dimension ref="A1:U142"/>
  <sheetViews>
    <sheetView topLeftCell="A59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7.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299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268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268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274</v>
      </c>
      <c r="G32" s="22" t="s">
        <v>38</v>
      </c>
      <c r="H32" s="21" t="s">
        <v>33</v>
      </c>
      <c r="I32" s="21" t="s">
        <v>252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275</v>
      </c>
      <c r="G33" s="24" t="s">
        <v>40</v>
      </c>
      <c r="H33" s="21" t="s">
        <v>33</v>
      </c>
      <c r="I33" s="21" t="s">
        <v>253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278</v>
      </c>
      <c r="G34" s="22" t="s">
        <v>38</v>
      </c>
      <c r="H34" s="21" t="s">
        <v>33</v>
      </c>
      <c r="I34" s="21" t="s">
        <v>254</v>
      </c>
      <c r="K34" s="37"/>
      <c r="L34" s="37" t="s">
        <v>383</v>
      </c>
      <c r="M34" s="20" t="str">
        <f>IF(I34="0x13","0.5",IF(I34="0x12","1","2"))</f>
        <v>1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407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0x25</v>
      </c>
      <c r="J39" s="20" t="str">
        <f>DEC2HEX(MOD(N39,256))</f>
        <v>25</v>
      </c>
      <c r="K39" s="37" t="str">
        <f>DEC2HEX(N39)</f>
        <v>294225</v>
      </c>
      <c r="L39" s="78" t="s">
        <v>376</v>
      </c>
      <c r="M39" s="75">
        <f>432*524288/(P70*P73*L75/1000000)</f>
        <v>2703909.2315626615</v>
      </c>
      <c r="N39" s="75">
        <f>(M39*M34)</f>
        <v>2703909.2315626615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0x42</v>
      </c>
      <c r="J40" s="20" t="str">
        <f>DEC2HEX(MOD((N39-MOD(N39,256))/256,256))</f>
        <v>42</v>
      </c>
      <c r="K40" s="37"/>
      <c r="L40" s="78" t="s">
        <v>378</v>
      </c>
      <c r="M40" s="75">
        <f>16*524288/(P70*P73)</f>
        <v>6.0086871812503579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0x29</v>
      </c>
      <c r="J41" s="20" t="str">
        <f>DEC2HEX((N39-MOD(N39,256))/65536)</f>
        <v>29</v>
      </c>
      <c r="K41" s="37"/>
      <c r="L41" s="78" t="s">
        <v>381</v>
      </c>
      <c r="M41" s="75">
        <f>IF(M40&gt;16,M40*128, M40*256)</f>
        <v>1538.2239184000916</v>
      </c>
      <c r="N41" s="75"/>
    </row>
    <row r="42" spans="1:14" s="20" customFormat="1" x14ac:dyDescent="0.25">
      <c r="A42" s="68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284</v>
      </c>
      <c r="G42" s="22" t="s">
        <v>38</v>
      </c>
      <c r="H42" s="21" t="s">
        <v>33</v>
      </c>
      <c r="I42" s="21" t="s">
        <v>131</v>
      </c>
      <c r="K42" s="37" t="str">
        <f>DEC2HEX(M41)</f>
        <v>602</v>
      </c>
      <c r="L42" s="37"/>
    </row>
    <row r="43" spans="1:14" s="20" customFormat="1" x14ac:dyDescent="0.25">
      <c r="A43" s="68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284</v>
      </c>
      <c r="G43" s="24" t="s">
        <v>40</v>
      </c>
      <c r="H43" s="21" t="s">
        <v>33</v>
      </c>
      <c r="I43" s="21" t="s">
        <v>240</v>
      </c>
      <c r="J43" s="79"/>
      <c r="K43" s="37"/>
      <c r="L43" s="37"/>
    </row>
    <row r="44" spans="1:14" s="20" customFormat="1" x14ac:dyDescent="0.25">
      <c r="A44" s="68" t="s">
        <v>429</v>
      </c>
      <c r="B44" s="50" t="s">
        <v>435</v>
      </c>
      <c r="C44" s="32"/>
      <c r="D44" s="21" t="s">
        <v>305</v>
      </c>
      <c r="E44" s="21" t="s">
        <v>37</v>
      </c>
      <c r="F44" s="21" t="s">
        <v>431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421</v>
      </c>
      <c r="B45" s="50" t="s">
        <v>422</v>
      </c>
      <c r="C45" s="32"/>
      <c r="D45" s="21" t="s">
        <v>302</v>
      </c>
      <c r="E45" s="21" t="s">
        <v>37</v>
      </c>
      <c r="F45" s="21" t="s">
        <v>413</v>
      </c>
      <c r="G45" s="22" t="s">
        <v>38</v>
      </c>
      <c r="H45" s="21" t="s">
        <v>416</v>
      </c>
      <c r="I45" s="21" t="s">
        <v>428</v>
      </c>
      <c r="K45" s="37"/>
      <c r="L45" s="37"/>
    </row>
    <row r="46" spans="1:14" s="20" customFormat="1" x14ac:dyDescent="0.25">
      <c r="A46" s="68" t="s">
        <v>421</v>
      </c>
      <c r="B46" s="50" t="s">
        <v>419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416</v>
      </c>
      <c r="I46" s="21" t="s">
        <v>426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53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163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282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53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41</v>
      </c>
      <c r="K59" s="37"/>
      <c r="L59" s="37"/>
    </row>
    <row r="60" spans="1:12" s="20" customFormat="1" x14ac:dyDescent="0.25">
      <c r="A60" s="31" t="s">
        <v>178</v>
      </c>
      <c r="B60" s="50" t="s">
        <v>353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345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522</v>
      </c>
      <c r="C62" s="32"/>
      <c r="D62" s="21" t="s">
        <v>306</v>
      </c>
      <c r="E62" s="21" t="s">
        <v>37</v>
      </c>
      <c r="F62" s="21" t="s">
        <v>528</v>
      </c>
      <c r="G62" s="22" t="s">
        <v>38</v>
      </c>
      <c r="H62" s="21" t="s">
        <v>131</v>
      </c>
      <c r="I62" s="21" t="str">
        <f>IF(L77="NEG","0x01","0x00")</f>
        <v>0x01</v>
      </c>
      <c r="K62" s="37"/>
      <c r="L62" s="37"/>
    </row>
    <row r="63" spans="1:12" s="20" customFormat="1" x14ac:dyDescent="0.25">
      <c r="A63" s="68"/>
      <c r="B63" s="50" t="s">
        <v>527</v>
      </c>
      <c r="C63" s="32"/>
      <c r="D63" s="21" t="s">
        <v>306</v>
      </c>
      <c r="E63" s="21" t="s">
        <v>37</v>
      </c>
      <c r="F63" s="21" t="s">
        <v>528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0x8F</v>
      </c>
      <c r="J68" s="20" t="str">
        <f>DEC2HEX(MOD(K68,256))</f>
        <v>8F</v>
      </c>
      <c r="K68" s="37">
        <f>P70-1</f>
        <v>1679</v>
      </c>
      <c r="L68" s="85" t="s">
        <v>40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0x06</v>
      </c>
      <c r="J69" s="20" t="str">
        <f>DEC2HEX((K68-MOD(K68,256))/256)</f>
        <v>6</v>
      </c>
      <c r="K69" s="37"/>
      <c r="L69" s="71" t="s">
        <v>329</v>
      </c>
      <c r="M69" s="71" t="s">
        <v>333</v>
      </c>
      <c r="N69" s="71" t="s">
        <v>315</v>
      </c>
      <c r="O69" s="71" t="s">
        <v>335</v>
      </c>
      <c r="P69" s="71" t="s">
        <v>336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0x3E</v>
      </c>
      <c r="J70" s="20" t="str">
        <f>DEC2HEX(MOD(K70,256))</f>
        <v>3E</v>
      </c>
      <c r="K70" s="37">
        <f>P73-1</f>
        <v>830</v>
      </c>
      <c r="L70" s="72">
        <v>128</v>
      </c>
      <c r="M70" s="72">
        <v>200</v>
      </c>
      <c r="N70" s="72">
        <v>1280</v>
      </c>
      <c r="O70" s="72">
        <f>P70-N70-M70-L70</f>
        <v>72</v>
      </c>
      <c r="P70" s="72">
        <v>1680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0x03</v>
      </c>
      <c r="J71" s="20" t="str">
        <f>DEC2HEX((K70-MOD(K70,256))/256)</f>
        <v>3</v>
      </c>
      <c r="K71" s="37"/>
      <c r="L71" s="85" t="s">
        <v>318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313</v>
      </c>
      <c r="M72" s="71" t="s">
        <v>333</v>
      </c>
      <c r="N72" s="71" t="s">
        <v>334</v>
      </c>
      <c r="O72" s="71" t="s">
        <v>316</v>
      </c>
      <c r="P72" s="71" t="s">
        <v>336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6</v>
      </c>
      <c r="M73" s="72">
        <v>22</v>
      </c>
      <c r="N73" s="72">
        <v>800</v>
      </c>
      <c r="O73" s="72">
        <f>P73-N73-M73-L73</f>
        <v>3</v>
      </c>
      <c r="P73" s="72">
        <v>831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0x7F</v>
      </c>
      <c r="J74" s="20" t="str">
        <f>DEC2HEX(MOD(K74,256))</f>
        <v>7F</v>
      </c>
      <c r="K74" s="37">
        <f>L70-1</f>
        <v>127</v>
      </c>
      <c r="L74" s="85" t="s">
        <v>331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60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534</v>
      </c>
      <c r="M76" s="80" t="s">
        <v>537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538</v>
      </c>
      <c r="M77" s="72" t="s">
        <v>541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0x05</v>
      </c>
      <c r="J78" s="20" t="str">
        <f>DEC2HEX(MOD(K78,256))</f>
        <v>5</v>
      </c>
      <c r="K78" s="37">
        <f>L73-1</f>
        <v>5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0x48</v>
      </c>
      <c r="J80" s="20" t="str">
        <f>DEC2HEX(MOD(K80,256))</f>
        <v>48</v>
      </c>
      <c r="K80" s="37">
        <f>L70+M70</f>
        <v>328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0x01</v>
      </c>
      <c r="J81" s="20" t="str">
        <f>DEC2HEX((K80-MOD(K80,256))/256)</f>
        <v>1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0x47</v>
      </c>
      <c r="J82" s="20" t="str">
        <f>DEC2HEX(MOD(K82,256))</f>
        <v>47</v>
      </c>
      <c r="K82" s="37">
        <f>L70+M70+N70-1</f>
        <v>1607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0x06</v>
      </c>
      <c r="J83" s="20" t="str">
        <f>DEC2HEX((K82-MOD(K82,256))/256)</f>
        <v>6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0x1C</v>
      </c>
      <c r="J84" s="20" t="str">
        <f>DEC2HEX(MOD(K84,256))</f>
        <v>1C</v>
      </c>
      <c r="K84" s="37">
        <f>L73+M73</f>
        <v>28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284</v>
      </c>
      <c r="G86" s="22" t="s">
        <v>38</v>
      </c>
      <c r="H86" s="21" t="s">
        <v>33</v>
      </c>
      <c r="I86" s="21" t="str">
        <f t="shared" si="0"/>
        <v>0x3B</v>
      </c>
      <c r="J86" s="20" t="str">
        <f>DEC2HEX(MOD(K86,256))</f>
        <v>3B</v>
      </c>
      <c r="K86" s="37">
        <f>L73+M73+N73-1</f>
        <v>827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284</v>
      </c>
      <c r="G87" s="24" t="s">
        <v>40</v>
      </c>
      <c r="H87" s="21" t="s">
        <v>33</v>
      </c>
      <c r="I87" s="21" t="str">
        <f t="shared" si="0"/>
        <v>0x03</v>
      </c>
      <c r="J87" s="20" t="str">
        <f>DEC2HEX((K86-MOD(K86,256))/256)</f>
        <v>3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274</v>
      </c>
      <c r="G88" s="22" t="s">
        <v>38</v>
      </c>
      <c r="H88" s="21" t="s">
        <v>33</v>
      </c>
      <c r="I88" s="21" t="str">
        <f t="shared" si="0"/>
        <v>0x48</v>
      </c>
      <c r="J88" s="20" t="str">
        <f>DEC2HEX(MOD(K88,256))</f>
        <v>48</v>
      </c>
      <c r="K88" s="37">
        <f>L70+M70</f>
        <v>328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274</v>
      </c>
      <c r="G89" s="24" t="s">
        <v>40</v>
      </c>
      <c r="H89" s="21" t="s">
        <v>33</v>
      </c>
      <c r="I89" s="21" t="str">
        <f t="shared" si="0"/>
        <v>0x01</v>
      </c>
      <c r="J89" s="20" t="str">
        <f>DEC2HEX((K88-MOD(K88,256))/256)</f>
        <v>1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0x47</v>
      </c>
      <c r="J90" s="20" t="str">
        <f>DEC2HEX(MOD(K90,256))</f>
        <v>47</v>
      </c>
      <c r="K90" s="37">
        <f>L70+M70+N70-1</f>
        <v>1607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0x06</v>
      </c>
      <c r="J91" s="20" t="str">
        <f>DEC2HEX((K90-MOD(K90,256))/256)</f>
        <v>6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0x1C</v>
      </c>
      <c r="J92" s="20" t="str">
        <f>DEC2HEX(MOD(K92,256))</f>
        <v>1C</v>
      </c>
      <c r="K92" s="37">
        <f>L73+M73</f>
        <v>28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291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279</v>
      </c>
      <c r="G94" s="22" t="s">
        <v>38</v>
      </c>
      <c r="H94" s="21" t="s">
        <v>33</v>
      </c>
      <c r="I94" s="21" t="str">
        <f t="shared" si="0"/>
        <v>0x3B</v>
      </c>
      <c r="J94" s="20" t="str">
        <f>DEC2HEX(MOD(K94,256))</f>
        <v>3B</v>
      </c>
      <c r="K94" s="37">
        <f>L73+M73+N73-1</f>
        <v>827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279</v>
      </c>
      <c r="G95" s="24" t="s">
        <v>40</v>
      </c>
      <c r="H95" s="21" t="s">
        <v>33</v>
      </c>
      <c r="I95" s="21" t="str">
        <f t="shared" si="0"/>
        <v>0x03</v>
      </c>
      <c r="J95" s="20" t="str">
        <f>DEC2HEX((K94-MOD(K94,256))/256)</f>
        <v>3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364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0x7F</v>
      </c>
      <c r="J103" s="20" t="str">
        <f>DEC2HEX(MOD(K103,256))</f>
        <v>7F</v>
      </c>
      <c r="K103" s="37">
        <f>L70-1</f>
        <v>127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0x48</v>
      </c>
      <c r="J105" s="20" t="str">
        <f>DEC2HEX(MOD(K105,256))</f>
        <v>48</v>
      </c>
      <c r="K105" s="37">
        <f>L70+M70</f>
        <v>328</v>
      </c>
      <c r="L105" s="37"/>
    </row>
    <row r="106" spans="1:12" s="20" customFormat="1" x14ac:dyDescent="0.25">
      <c r="A106" s="68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0x01</v>
      </c>
      <c r="J106" s="20" t="str">
        <f>DEC2HEX((K105-MOD(K105,256))/256)</f>
        <v>1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0x47</v>
      </c>
      <c r="J107" s="20" t="str">
        <f>DEC2HEX(MOD(K107,256))</f>
        <v>47</v>
      </c>
      <c r="K107" s="37">
        <f>L70+M70+N70-1</f>
        <v>1607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0x06</v>
      </c>
      <c r="J108" s="20" t="str">
        <f>DEC2HEX((K107-MOD(K107,256))/256)</f>
        <v>6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0x1C</v>
      </c>
      <c r="J109" s="20" t="str">
        <f>DEC2HEX(MOD(K109,256))</f>
        <v>1C</v>
      </c>
      <c r="K109" s="37">
        <f>L73+M73</f>
        <v>28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294</v>
      </c>
      <c r="G111" s="22" t="s">
        <v>38</v>
      </c>
      <c r="H111" s="21" t="s">
        <v>33</v>
      </c>
      <c r="I111" s="21" t="str">
        <f t="shared" si="1"/>
        <v>0x3B</v>
      </c>
      <c r="J111" s="20" t="str">
        <f>DEC2HEX(MOD(K111,256))</f>
        <v>3B</v>
      </c>
      <c r="K111" s="37">
        <f>L73+M73+N73-1</f>
        <v>827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295</v>
      </c>
      <c r="G112" s="24" t="s">
        <v>40</v>
      </c>
      <c r="H112" s="21" t="s">
        <v>33</v>
      </c>
      <c r="I112" s="21" t="str">
        <f t="shared" si="1"/>
        <v>0x03</v>
      </c>
      <c r="J112" s="20" t="str">
        <f>DEC2HEX((K111-MOD(K111,256))/256)</f>
        <v>3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517</v>
      </c>
      <c r="C119" s="32" t="s">
        <v>519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410</v>
      </c>
      <c r="B122" s="50" t="s">
        <v>361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351</v>
      </c>
      <c r="I122" s="21" t="s">
        <v>41</v>
      </c>
      <c r="K122" s="37"/>
      <c r="L122" s="37"/>
    </row>
    <row r="123" spans="1:12" s="20" customFormat="1" x14ac:dyDescent="0.25">
      <c r="A123" s="31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384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386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310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386</v>
      </c>
      <c r="C125" s="32" t="s">
        <v>223</v>
      </c>
      <c r="D125" s="21" t="s">
        <v>305</v>
      </c>
      <c r="E125" s="21" t="s">
        <v>37</v>
      </c>
      <c r="F125" s="21" t="s">
        <v>53</v>
      </c>
      <c r="G125" s="24" t="s">
        <v>310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393</v>
      </c>
      <c r="C126" s="32" t="s">
        <v>223</v>
      </c>
      <c r="D126" s="21" t="s">
        <v>305</v>
      </c>
      <c r="E126" s="21" t="s">
        <v>37</v>
      </c>
      <c r="F126" s="21" t="s">
        <v>396</v>
      </c>
      <c r="G126" s="22" t="s">
        <v>38</v>
      </c>
      <c r="H126" s="21" t="s">
        <v>399</v>
      </c>
      <c r="I126" s="21" t="s">
        <v>402</v>
      </c>
      <c r="K126" s="37"/>
      <c r="L126" s="37"/>
    </row>
    <row r="127" spans="1:12" s="20" customFormat="1" x14ac:dyDescent="0.25">
      <c r="A127" s="31" t="s">
        <v>184</v>
      </c>
      <c r="B127" s="50" t="s">
        <v>393</v>
      </c>
      <c r="C127" s="32" t="s">
        <v>223</v>
      </c>
      <c r="D127" s="21" t="s">
        <v>305</v>
      </c>
      <c r="E127" s="21" t="s">
        <v>37</v>
      </c>
      <c r="F127" s="21" t="s">
        <v>396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39</v>
      </c>
      <c r="K128" s="37"/>
      <c r="L128" s="37"/>
    </row>
    <row r="129" spans="1:12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39</v>
      </c>
      <c r="K129" s="37"/>
      <c r="L129" s="37"/>
    </row>
    <row r="130" spans="1:12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39</v>
      </c>
      <c r="K130" s="37"/>
      <c r="L130" s="37"/>
    </row>
    <row r="131" spans="1:12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39</v>
      </c>
      <c r="K131" s="37"/>
      <c r="L131" s="37"/>
    </row>
    <row r="132" spans="1:12" s="20" customFormat="1" x14ac:dyDescent="0.25">
      <c r="A132" s="31" t="s">
        <v>476</v>
      </c>
      <c r="B132" s="32" t="s">
        <v>452</v>
      </c>
      <c r="C132" s="32"/>
      <c r="D132" s="21" t="s">
        <v>308</v>
      </c>
      <c r="E132" s="21" t="s">
        <v>37</v>
      </c>
      <c r="F132" s="21" t="s">
        <v>453</v>
      </c>
      <c r="G132" s="22" t="s">
        <v>38</v>
      </c>
      <c r="H132" s="21" t="s">
        <v>455</v>
      </c>
      <c r="I132" s="21" t="s">
        <v>457</v>
      </c>
      <c r="K132" s="37"/>
      <c r="L132" s="37"/>
    </row>
    <row r="133" spans="1:12" s="20" customFormat="1" x14ac:dyDescent="0.25">
      <c r="A133" s="31" t="s">
        <v>450</v>
      </c>
      <c r="B133" s="32" t="s">
        <v>465</v>
      </c>
      <c r="C133" s="32"/>
      <c r="D133" s="21" t="s">
        <v>308</v>
      </c>
      <c r="E133" s="21" t="s">
        <v>37</v>
      </c>
      <c r="F133" s="21" t="s">
        <v>453</v>
      </c>
      <c r="G133" s="24" t="s">
        <v>40</v>
      </c>
      <c r="H133" s="21" t="s">
        <v>477</v>
      </c>
      <c r="I133" s="21" t="s">
        <v>478</v>
      </c>
      <c r="K133" s="37"/>
      <c r="L133" s="37"/>
    </row>
    <row r="134" spans="1:12" s="20" customFormat="1" x14ac:dyDescent="0.25">
      <c r="A134" s="31" t="s">
        <v>450</v>
      </c>
      <c r="B134" s="32" t="s">
        <v>467</v>
      </c>
      <c r="C134" s="32"/>
      <c r="D134" s="21" t="s">
        <v>308</v>
      </c>
      <c r="E134" s="21" t="s">
        <v>37</v>
      </c>
      <c r="F134" s="21" t="s">
        <v>472</v>
      </c>
      <c r="G134" s="22" t="s">
        <v>38</v>
      </c>
      <c r="H134" s="21" t="s">
        <v>455</v>
      </c>
      <c r="I134" s="21" t="s">
        <v>453</v>
      </c>
      <c r="K134" s="37"/>
      <c r="L134" s="37"/>
    </row>
    <row r="135" spans="1:12" s="20" customFormat="1" x14ac:dyDescent="0.25">
      <c r="A135" s="31" t="s">
        <v>450</v>
      </c>
      <c r="B135" s="32" t="s">
        <v>479</v>
      </c>
      <c r="C135" s="32"/>
      <c r="D135" s="21" t="s">
        <v>308</v>
      </c>
      <c r="E135" s="21" t="s">
        <v>37</v>
      </c>
      <c r="F135" s="21" t="s">
        <v>472</v>
      </c>
      <c r="G135" s="24" t="s">
        <v>475</v>
      </c>
      <c r="H135" s="21" t="s">
        <v>455</v>
      </c>
      <c r="I135" s="21" t="s">
        <v>457</v>
      </c>
      <c r="K135" s="37"/>
      <c r="L135" s="37"/>
    </row>
    <row r="136" spans="1:12" s="20" customFormat="1" x14ac:dyDescent="0.25">
      <c r="A136" s="31" t="s">
        <v>511</v>
      </c>
      <c r="B136" s="32" t="s">
        <v>504</v>
      </c>
      <c r="C136" s="32"/>
      <c r="D136" s="21" t="s">
        <v>308</v>
      </c>
      <c r="E136" s="21" t="s">
        <v>37</v>
      </c>
      <c r="F136" s="21" t="s">
        <v>505</v>
      </c>
      <c r="G136" s="22" t="s">
        <v>38</v>
      </c>
      <c r="H136" s="21" t="s">
        <v>33</v>
      </c>
      <c r="I136" s="21" t="s">
        <v>512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60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"/>
    <protectedRange password="EBC5" sqref="I39:I41" name="範圍1_3_3_1_1_1_2_1_1_2_1_1"/>
    <protectedRange password="EBC5" sqref="I101:I112 I68:I95" name="範圍1_3_3_1_1_1_2_1_1_2_1_1_1_1"/>
    <protectedRange password="EBC5" sqref="I132:I135" name="範圍1_3_3_1_1_1_2_1_1_2_3"/>
    <protectedRange password="EBC5" sqref="I136" name="範圍1_3_3_1_1_1_2_1_1_2_4"/>
  </protectedRanges>
  <mergeCells count="11">
    <mergeCell ref="L68:P68"/>
    <mergeCell ref="L71:P71"/>
    <mergeCell ref="L74:P74"/>
    <mergeCell ref="L75:P75"/>
    <mergeCell ref="A99:C99"/>
    <mergeCell ref="A1:C1"/>
    <mergeCell ref="A53:C53"/>
    <mergeCell ref="A66:C66"/>
    <mergeCell ref="D141:G141"/>
    <mergeCell ref="A37:C37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U142"/>
  <sheetViews>
    <sheetView topLeftCell="A64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7.7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300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268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271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275</v>
      </c>
      <c r="G32" s="22" t="s">
        <v>38</v>
      </c>
      <c r="H32" s="21" t="s">
        <v>33</v>
      </c>
      <c r="I32" s="21" t="s">
        <v>248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275</v>
      </c>
      <c r="G33" s="24" t="s">
        <v>40</v>
      </c>
      <c r="H33" s="21" t="s">
        <v>33</v>
      </c>
      <c r="I33" s="21" t="s">
        <v>249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278</v>
      </c>
      <c r="G34" s="22" t="s">
        <v>38</v>
      </c>
      <c r="H34" s="21" t="s">
        <v>33</v>
      </c>
      <c r="I34" s="21" t="s">
        <v>250</v>
      </c>
      <c r="K34" s="37"/>
      <c r="L34" s="37" t="s">
        <v>383</v>
      </c>
      <c r="M34" s="20" t="str">
        <f>IF(I34="0x13","0.5",IF(I34="0x12","1","2"))</f>
        <v>1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406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0xB1</v>
      </c>
      <c r="J39" s="20" t="str">
        <f>DEC2HEX(MOD(N39,256))</f>
        <v>B1</v>
      </c>
      <c r="K39" s="37" t="str">
        <f>DEC2HEX(N39)</f>
        <v>2002B1</v>
      </c>
      <c r="L39" s="78" t="s">
        <v>377</v>
      </c>
      <c r="M39" s="75">
        <f>432*524288/(P70*P73*L75/1000000)</f>
        <v>2097841.9569102726</v>
      </c>
      <c r="N39" s="75">
        <f>(M39*M34)</f>
        <v>2097841.9569102726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0x02</v>
      </c>
      <c r="J40" s="20" t="str">
        <f>DEC2HEX(MOD((N39-MOD(N39,256))/256,256))</f>
        <v>2</v>
      </c>
      <c r="K40" s="37"/>
      <c r="L40" s="78" t="s">
        <v>378</v>
      </c>
      <c r="M40" s="75">
        <f>16*524288/(P70*P73)</f>
        <v>4.6618710153561613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0x20</v>
      </c>
      <c r="J41" s="20" t="str">
        <f>DEC2HEX((N39-MOD(N39,256))/65536)</f>
        <v>20</v>
      </c>
      <c r="K41" s="37"/>
      <c r="L41" s="78" t="s">
        <v>381</v>
      </c>
      <c r="M41" s="75">
        <f>IF(M40&gt;16,M40*128, M40*256)</f>
        <v>1193.4389799311773</v>
      </c>
      <c r="N41" s="75"/>
    </row>
    <row r="42" spans="1:14" s="20" customFormat="1" x14ac:dyDescent="0.25">
      <c r="A42" s="68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284</v>
      </c>
      <c r="G42" s="22" t="s">
        <v>38</v>
      </c>
      <c r="H42" s="21" t="s">
        <v>33</v>
      </c>
      <c r="I42" s="21" t="s">
        <v>440</v>
      </c>
      <c r="K42" s="37" t="str">
        <f>DEC2HEX(M41)</f>
        <v>4A9</v>
      </c>
      <c r="L42" s="37"/>
    </row>
    <row r="43" spans="1:14" s="20" customFormat="1" x14ac:dyDescent="0.25">
      <c r="A43" s="68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284</v>
      </c>
      <c r="G43" s="24" t="s">
        <v>40</v>
      </c>
      <c r="H43" s="21" t="s">
        <v>33</v>
      </c>
      <c r="I43" s="21" t="s">
        <v>245</v>
      </c>
      <c r="K43" s="37"/>
      <c r="L43" s="37"/>
    </row>
    <row r="44" spans="1:14" s="20" customFormat="1" x14ac:dyDescent="0.25">
      <c r="A44" s="68" t="s">
        <v>429</v>
      </c>
      <c r="B44" s="50" t="s">
        <v>435</v>
      </c>
      <c r="C44" s="32"/>
      <c r="D44" s="21" t="s">
        <v>305</v>
      </c>
      <c r="E44" s="21" t="s">
        <v>37</v>
      </c>
      <c r="F44" s="21" t="s">
        <v>432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421</v>
      </c>
      <c r="B45" s="50" t="s">
        <v>422</v>
      </c>
      <c r="C45" s="32"/>
      <c r="D45" s="21" t="s">
        <v>302</v>
      </c>
      <c r="E45" s="21" t="s">
        <v>37</v>
      </c>
      <c r="F45" s="21" t="s">
        <v>413</v>
      </c>
      <c r="G45" s="22" t="s">
        <v>38</v>
      </c>
      <c r="H45" s="21" t="s">
        <v>416</v>
      </c>
      <c r="I45" s="21" t="s">
        <v>428</v>
      </c>
      <c r="K45" s="37"/>
      <c r="L45" s="37"/>
    </row>
    <row r="46" spans="1:14" s="20" customFormat="1" x14ac:dyDescent="0.25">
      <c r="A46" s="68" t="s">
        <v>420</v>
      </c>
      <c r="B46" s="50" t="s">
        <v>419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418</v>
      </c>
      <c r="I46" s="21" t="s">
        <v>426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41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41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280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53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41</v>
      </c>
      <c r="K59" s="37"/>
      <c r="L59" s="37"/>
    </row>
    <row r="60" spans="1:12" s="20" customFormat="1" x14ac:dyDescent="0.25">
      <c r="A60" s="31" t="s">
        <v>178</v>
      </c>
      <c r="B60" s="50" t="s">
        <v>354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345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522</v>
      </c>
      <c r="C62" s="32"/>
      <c r="D62" s="21" t="s">
        <v>306</v>
      </c>
      <c r="E62" s="21" t="s">
        <v>37</v>
      </c>
      <c r="F62" s="21" t="s">
        <v>529</v>
      </c>
      <c r="G62" s="22" t="s">
        <v>38</v>
      </c>
      <c r="H62" s="21" t="s">
        <v>131</v>
      </c>
      <c r="I62" s="21" t="str">
        <f>IF(L77="NEG","0x01","0x00")</f>
        <v>0x00</v>
      </c>
      <c r="K62" s="37"/>
      <c r="L62" s="37"/>
    </row>
    <row r="63" spans="1:12" s="20" customFormat="1" x14ac:dyDescent="0.25">
      <c r="A63" s="68"/>
      <c r="B63" s="50" t="s">
        <v>525</v>
      </c>
      <c r="C63" s="32"/>
      <c r="D63" s="21" t="s">
        <v>306</v>
      </c>
      <c r="E63" s="21" t="s">
        <v>37</v>
      </c>
      <c r="F63" s="21" t="s">
        <v>529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0x97</v>
      </c>
      <c r="J68" s="20" t="str">
        <f>DEC2HEX(MOD(K68,256))</f>
        <v>97</v>
      </c>
      <c r="K68" s="37">
        <f>P70-1</f>
        <v>1687</v>
      </c>
      <c r="L68" s="85" t="s">
        <v>40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0x06</v>
      </c>
      <c r="J69" s="20" t="str">
        <f>DEC2HEX((K68-MOD(K68,256))/256)</f>
        <v>6</v>
      </c>
      <c r="K69" s="37"/>
      <c r="L69" s="71" t="s">
        <v>313</v>
      </c>
      <c r="M69" s="71" t="s">
        <v>314</v>
      </c>
      <c r="N69" s="71" t="s">
        <v>315</v>
      </c>
      <c r="O69" s="71" t="s">
        <v>316</v>
      </c>
      <c r="P69" s="71" t="s">
        <v>317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0x29</v>
      </c>
      <c r="J70" s="20" t="str">
        <f>DEC2HEX(MOD(K70,256))</f>
        <v>29</v>
      </c>
      <c r="K70" s="37">
        <f>P73-1</f>
        <v>1065</v>
      </c>
      <c r="L70" s="72">
        <v>112</v>
      </c>
      <c r="M70" s="72">
        <v>248</v>
      </c>
      <c r="N70" s="72">
        <v>1280</v>
      </c>
      <c r="O70" s="72">
        <f>P70-N70-M70-L70</f>
        <v>48</v>
      </c>
      <c r="P70" s="72">
        <v>1688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0x04</v>
      </c>
      <c r="J71" s="20" t="str">
        <f>DEC2HEX((K70-MOD(K70,256))/256)</f>
        <v>4</v>
      </c>
      <c r="K71" s="37"/>
      <c r="L71" s="85" t="s">
        <v>318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313</v>
      </c>
      <c r="M72" s="71" t="s">
        <v>314</v>
      </c>
      <c r="N72" s="71" t="s">
        <v>315</v>
      </c>
      <c r="O72" s="71" t="s">
        <v>316</v>
      </c>
      <c r="P72" s="71" t="s">
        <v>317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3</v>
      </c>
      <c r="M73" s="72">
        <v>38</v>
      </c>
      <c r="N73" s="72">
        <v>1024</v>
      </c>
      <c r="O73" s="72">
        <f>P73-N73-M73-L73</f>
        <v>1</v>
      </c>
      <c r="P73" s="72">
        <v>1066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0x6F</v>
      </c>
      <c r="J74" s="20" t="str">
        <f>DEC2HEX(MOD(K74,256))</f>
        <v>6F</v>
      </c>
      <c r="K74" s="37">
        <f>L70-1</f>
        <v>111</v>
      </c>
      <c r="L74" s="85" t="s">
        <v>319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60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534</v>
      </c>
      <c r="M76" s="80" t="s">
        <v>537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540</v>
      </c>
      <c r="M77" s="72" t="s">
        <v>540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0x02</v>
      </c>
      <c r="J78" s="20" t="str">
        <f>DEC2HEX(MOD(K78,256))</f>
        <v>2</v>
      </c>
      <c r="K78" s="37">
        <f>L73-1</f>
        <v>2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0x68</v>
      </c>
      <c r="J80" s="20" t="str">
        <f>DEC2HEX(MOD(K80,256))</f>
        <v>68</v>
      </c>
      <c r="K80" s="37">
        <f>L70+M70</f>
        <v>360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0x01</v>
      </c>
      <c r="J81" s="20" t="str">
        <f>DEC2HEX((K80-MOD(K80,256))/256)</f>
        <v>1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0x67</v>
      </c>
      <c r="J82" s="20" t="str">
        <f>DEC2HEX(MOD(K82,256))</f>
        <v>67</v>
      </c>
      <c r="K82" s="37">
        <f>L70+M70+N70-1</f>
        <v>1639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0x06</v>
      </c>
      <c r="J83" s="20" t="str">
        <f>DEC2HEX((K82-MOD(K82,256))/256)</f>
        <v>6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0x29</v>
      </c>
      <c r="J84" s="20" t="str">
        <f>DEC2HEX(MOD(K84,256))</f>
        <v>29</v>
      </c>
      <c r="K84" s="37">
        <f>L73+M73</f>
        <v>41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284</v>
      </c>
      <c r="G86" s="22" t="s">
        <v>38</v>
      </c>
      <c r="H86" s="21" t="s">
        <v>33</v>
      </c>
      <c r="I86" s="21" t="str">
        <f t="shared" si="0"/>
        <v>0x28</v>
      </c>
      <c r="J86" s="20" t="str">
        <f>DEC2HEX(MOD(K86,256))</f>
        <v>28</v>
      </c>
      <c r="K86" s="37">
        <f>L73+M73+N73-1</f>
        <v>1064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284</v>
      </c>
      <c r="G87" s="24" t="s">
        <v>40</v>
      </c>
      <c r="H87" s="21" t="s">
        <v>33</v>
      </c>
      <c r="I87" s="21" t="str">
        <f t="shared" si="0"/>
        <v>0x04</v>
      </c>
      <c r="J87" s="20" t="str">
        <f>DEC2HEX((K86-MOD(K86,256))/256)</f>
        <v>4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274</v>
      </c>
      <c r="G88" s="22" t="s">
        <v>38</v>
      </c>
      <c r="H88" s="21" t="s">
        <v>33</v>
      </c>
      <c r="I88" s="21" t="str">
        <f t="shared" si="0"/>
        <v>0x68</v>
      </c>
      <c r="J88" s="20" t="str">
        <f>DEC2HEX(MOD(K88,256))</f>
        <v>68</v>
      </c>
      <c r="K88" s="37">
        <f>L70+M70</f>
        <v>360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274</v>
      </c>
      <c r="G89" s="24" t="s">
        <v>40</v>
      </c>
      <c r="H89" s="21" t="s">
        <v>33</v>
      </c>
      <c r="I89" s="21" t="str">
        <f t="shared" si="0"/>
        <v>0x01</v>
      </c>
      <c r="J89" s="20" t="str">
        <f>DEC2HEX((K88-MOD(K88,256))/256)</f>
        <v>1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0x67</v>
      </c>
      <c r="J90" s="20" t="str">
        <f>DEC2HEX(MOD(K90,256))</f>
        <v>67</v>
      </c>
      <c r="K90" s="37">
        <f>L70+M70+N70-1</f>
        <v>1639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0x06</v>
      </c>
      <c r="J91" s="20" t="str">
        <f>DEC2HEX((K90-MOD(K90,256))/256)</f>
        <v>6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288</v>
      </c>
      <c r="G92" s="22" t="s">
        <v>38</v>
      </c>
      <c r="H92" s="21" t="s">
        <v>33</v>
      </c>
      <c r="I92" s="21" t="str">
        <f t="shared" si="0"/>
        <v>0x29</v>
      </c>
      <c r="J92" s="20" t="str">
        <f>DEC2HEX(MOD(K92,256))</f>
        <v>29</v>
      </c>
      <c r="K92" s="37">
        <f>L73+M73</f>
        <v>41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289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280</v>
      </c>
      <c r="G94" s="22" t="s">
        <v>38</v>
      </c>
      <c r="H94" s="21" t="s">
        <v>33</v>
      </c>
      <c r="I94" s="21" t="str">
        <f t="shared" si="0"/>
        <v>0x28</v>
      </c>
      <c r="J94" s="20" t="str">
        <f>DEC2HEX(MOD(K94,256))</f>
        <v>28</v>
      </c>
      <c r="K94" s="37">
        <f>L73+M73+N73-1</f>
        <v>1064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280</v>
      </c>
      <c r="G95" s="24" t="s">
        <v>40</v>
      </c>
      <c r="H95" s="21" t="s">
        <v>33</v>
      </c>
      <c r="I95" s="21" t="str">
        <f t="shared" si="0"/>
        <v>0x04</v>
      </c>
      <c r="J95" s="20" t="str">
        <f>DEC2HEX((K94-MOD(K94,256))/256)</f>
        <v>4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364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0x6F</v>
      </c>
      <c r="J103" s="20" t="str">
        <f>DEC2HEX(MOD(K103,256))</f>
        <v>6F</v>
      </c>
      <c r="K103" s="37">
        <f>L70-1</f>
        <v>111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0x68</v>
      </c>
      <c r="J105" s="20" t="str">
        <f>DEC2HEX(MOD(K105,256))</f>
        <v>68</v>
      </c>
      <c r="K105" s="37">
        <f>L70+M70</f>
        <v>360</v>
      </c>
      <c r="L105" s="37"/>
    </row>
    <row r="106" spans="1:12" s="20" customFormat="1" x14ac:dyDescent="0.25">
      <c r="A106" s="68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0x01</v>
      </c>
      <c r="J106" s="20" t="str">
        <f>DEC2HEX((K105-MOD(K105,256))/256)</f>
        <v>1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0x67</v>
      </c>
      <c r="J107" s="20" t="str">
        <f>DEC2HEX(MOD(K107,256))</f>
        <v>67</v>
      </c>
      <c r="K107" s="37">
        <f>L70+M70+N70-1</f>
        <v>1639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0x06</v>
      </c>
      <c r="J108" s="20" t="str">
        <f>DEC2HEX((K107-MOD(K107,256))/256)</f>
        <v>6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0x29</v>
      </c>
      <c r="J109" s="20" t="str">
        <f>DEC2HEX(MOD(K109,256))</f>
        <v>29</v>
      </c>
      <c r="K109" s="37">
        <f>L73+M73</f>
        <v>41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294</v>
      </c>
      <c r="G111" s="22" t="s">
        <v>38</v>
      </c>
      <c r="H111" s="21" t="s">
        <v>33</v>
      </c>
      <c r="I111" s="21" t="str">
        <f t="shared" si="1"/>
        <v>0x28</v>
      </c>
      <c r="J111" s="20" t="str">
        <f>DEC2HEX(MOD(K111,256))</f>
        <v>28</v>
      </c>
      <c r="K111" s="37">
        <f>L73+M73+N73-1</f>
        <v>1064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294</v>
      </c>
      <c r="G112" s="24" t="s">
        <v>40</v>
      </c>
      <c r="H112" s="21" t="s">
        <v>33</v>
      </c>
      <c r="I112" s="21" t="str">
        <f t="shared" si="1"/>
        <v>0x04</v>
      </c>
      <c r="J112" s="20" t="str">
        <f>DEC2HEX((K111-MOD(K111,256))/256)</f>
        <v>4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518</v>
      </c>
      <c r="C119" s="32" t="s">
        <v>519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410</v>
      </c>
      <c r="B122" s="50" t="s">
        <v>361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351</v>
      </c>
      <c r="I122" s="21" t="s">
        <v>41</v>
      </c>
      <c r="K122" s="37"/>
      <c r="L122" s="37"/>
    </row>
    <row r="123" spans="1:12" s="20" customFormat="1" x14ac:dyDescent="0.25">
      <c r="A123" s="31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384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388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310</v>
      </c>
      <c r="H124" s="21" t="s">
        <v>33</v>
      </c>
      <c r="I124" s="21" t="s">
        <v>41</v>
      </c>
      <c r="K124" s="37"/>
      <c r="L124" s="37"/>
    </row>
    <row r="125" spans="1:12" s="20" customFormat="1" x14ac:dyDescent="0.25">
      <c r="A125" s="31" t="s">
        <v>184</v>
      </c>
      <c r="B125" s="50" t="s">
        <v>388</v>
      </c>
      <c r="C125" s="32" t="s">
        <v>223</v>
      </c>
      <c r="D125" s="21" t="s">
        <v>305</v>
      </c>
      <c r="E125" s="21" t="s">
        <v>37</v>
      </c>
      <c r="F125" s="21" t="s">
        <v>53</v>
      </c>
      <c r="G125" s="24" t="s">
        <v>310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393</v>
      </c>
      <c r="C126" s="32" t="s">
        <v>223</v>
      </c>
      <c r="D126" s="21" t="s">
        <v>305</v>
      </c>
      <c r="E126" s="21" t="s">
        <v>37</v>
      </c>
      <c r="F126" s="21" t="s">
        <v>397</v>
      </c>
      <c r="G126" s="22" t="s">
        <v>38</v>
      </c>
      <c r="H126" s="21" t="s">
        <v>400</v>
      </c>
      <c r="I126" s="21" t="s">
        <v>402</v>
      </c>
      <c r="K126" s="37"/>
      <c r="L126" s="37"/>
    </row>
    <row r="127" spans="1:12" s="20" customFormat="1" x14ac:dyDescent="0.25">
      <c r="A127" s="31" t="s">
        <v>184</v>
      </c>
      <c r="B127" s="50" t="s">
        <v>393</v>
      </c>
      <c r="C127" s="32" t="s">
        <v>223</v>
      </c>
      <c r="D127" s="21" t="s">
        <v>305</v>
      </c>
      <c r="E127" s="21" t="s">
        <v>37</v>
      </c>
      <c r="F127" s="21" t="s">
        <v>397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311</v>
      </c>
      <c r="K128" s="37"/>
      <c r="L128" s="37"/>
    </row>
    <row r="129" spans="1:12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311</v>
      </c>
      <c r="K129" s="37"/>
      <c r="L129" s="37"/>
    </row>
    <row r="130" spans="1:12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311</v>
      </c>
      <c r="K130" s="37"/>
      <c r="L130" s="37"/>
    </row>
    <row r="131" spans="1:12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311</v>
      </c>
      <c r="K131" s="37"/>
      <c r="L131" s="37"/>
    </row>
    <row r="132" spans="1:12" s="20" customFormat="1" x14ac:dyDescent="0.25">
      <c r="A132" s="31" t="s">
        <v>450</v>
      </c>
      <c r="B132" s="32" t="s">
        <v>452</v>
      </c>
      <c r="C132" s="32"/>
      <c r="D132" s="21" t="s">
        <v>308</v>
      </c>
      <c r="E132" s="21" t="s">
        <v>37</v>
      </c>
      <c r="F132" s="21" t="s">
        <v>468</v>
      </c>
      <c r="G132" s="22" t="s">
        <v>38</v>
      </c>
      <c r="H132" s="21" t="s">
        <v>469</v>
      </c>
      <c r="I132" s="21" t="s">
        <v>457</v>
      </c>
      <c r="K132" s="37"/>
      <c r="L132" s="37"/>
    </row>
    <row r="133" spans="1:12" s="20" customFormat="1" x14ac:dyDescent="0.25">
      <c r="A133" s="31" t="s">
        <v>450</v>
      </c>
      <c r="B133" s="32" t="s">
        <v>470</v>
      </c>
      <c r="C133" s="32"/>
      <c r="D133" s="21" t="s">
        <v>308</v>
      </c>
      <c r="E133" s="21" t="s">
        <v>37</v>
      </c>
      <c r="F133" s="21" t="s">
        <v>453</v>
      </c>
      <c r="G133" s="24" t="s">
        <v>40</v>
      </c>
      <c r="H133" s="21" t="s">
        <v>469</v>
      </c>
      <c r="I133" s="21" t="s">
        <v>466</v>
      </c>
      <c r="K133" s="37"/>
      <c r="L133" s="37"/>
    </row>
    <row r="134" spans="1:12" s="20" customFormat="1" x14ac:dyDescent="0.25">
      <c r="A134" s="31" t="s">
        <v>450</v>
      </c>
      <c r="B134" s="32" t="s">
        <v>471</v>
      </c>
      <c r="C134" s="32"/>
      <c r="D134" s="21" t="s">
        <v>308</v>
      </c>
      <c r="E134" s="21" t="s">
        <v>37</v>
      </c>
      <c r="F134" s="21" t="s">
        <v>472</v>
      </c>
      <c r="G134" s="22" t="s">
        <v>38</v>
      </c>
      <c r="H134" s="21" t="s">
        <v>473</v>
      </c>
      <c r="I134" s="21" t="s">
        <v>453</v>
      </c>
      <c r="K134" s="37"/>
      <c r="L134" s="37"/>
    </row>
    <row r="135" spans="1:12" s="20" customFormat="1" x14ac:dyDescent="0.25">
      <c r="A135" s="31" t="s">
        <v>450</v>
      </c>
      <c r="B135" s="32" t="s">
        <v>474</v>
      </c>
      <c r="C135" s="32"/>
      <c r="D135" s="21" t="s">
        <v>308</v>
      </c>
      <c r="E135" s="21" t="s">
        <v>37</v>
      </c>
      <c r="F135" s="21" t="s">
        <v>457</v>
      </c>
      <c r="G135" s="24" t="s">
        <v>475</v>
      </c>
      <c r="H135" s="21" t="s">
        <v>473</v>
      </c>
      <c r="I135" s="21" t="s">
        <v>457</v>
      </c>
      <c r="K135" s="37"/>
      <c r="L135" s="37"/>
    </row>
    <row r="136" spans="1:12" s="20" customFormat="1" x14ac:dyDescent="0.25">
      <c r="A136" s="31" t="s">
        <v>450</v>
      </c>
      <c r="B136" s="32" t="s">
        <v>504</v>
      </c>
      <c r="C136" s="32"/>
      <c r="D136" s="21" t="s">
        <v>308</v>
      </c>
      <c r="E136" s="21" t="s">
        <v>37</v>
      </c>
      <c r="F136" s="21" t="s">
        <v>505</v>
      </c>
      <c r="G136" s="22" t="s">
        <v>38</v>
      </c>
      <c r="H136" s="21" t="s">
        <v>33</v>
      </c>
      <c r="I136" s="21" t="s">
        <v>283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60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"/>
    <protectedRange password="EBC5" sqref="I39:I41" name="範圍1_3_3_1_1_1_2_1_1_2_1_1"/>
    <protectedRange password="EBC5" sqref="I101:I112 I68:I95" name="範圍1_3_3_1_1_1_2_1_1_2_1_1_1_1"/>
    <protectedRange password="EBC5" sqref="I132:I135" name="範圍1_3_3_1_1_1_2_1_1_2_3"/>
    <protectedRange password="EBC5" sqref="I136" name="範圍1_3_3_1_1_1_2_1_1_2_4"/>
  </protectedRanges>
  <mergeCells count="11">
    <mergeCell ref="A1:C1"/>
    <mergeCell ref="A53:C53"/>
    <mergeCell ref="A66:C66"/>
    <mergeCell ref="D141:G141"/>
    <mergeCell ref="A37:C37"/>
    <mergeCell ref="A99:C99"/>
    <mergeCell ref="A115:C115"/>
    <mergeCell ref="L68:P68"/>
    <mergeCell ref="L71:P71"/>
    <mergeCell ref="L74:P74"/>
    <mergeCell ref="L75:P7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00"/>
  </sheetPr>
  <dimension ref="A1:U142"/>
  <sheetViews>
    <sheetView topLeftCell="A61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7.62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6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  <c r="L1" s="66"/>
      <c r="M1" s="65"/>
      <c r="N1" s="65"/>
      <c r="O1" s="65"/>
      <c r="P1" s="65"/>
    </row>
    <row r="2" spans="1:16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  <c r="L2" s="66"/>
      <c r="M2" s="65"/>
      <c r="N2" s="65"/>
      <c r="O2" s="65"/>
      <c r="P2" s="65"/>
    </row>
    <row r="3" spans="1:16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73"/>
      <c r="M3" s="73"/>
      <c r="N3" s="73"/>
      <c r="O3" s="73"/>
      <c r="P3" s="73"/>
    </row>
    <row r="4" spans="1:16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66"/>
      <c r="M4" s="65"/>
      <c r="N4" s="65"/>
      <c r="O4" s="65"/>
      <c r="P4" s="65"/>
    </row>
    <row r="5" spans="1:16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66"/>
      <c r="M5" s="73"/>
      <c r="N5" s="73"/>
      <c r="O5" s="73"/>
      <c r="P5" s="73"/>
    </row>
    <row r="6" spans="1:16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73"/>
      <c r="M6" s="73"/>
      <c r="N6" s="73"/>
      <c r="O6" s="73"/>
      <c r="P6" s="73"/>
    </row>
    <row r="7" spans="1:16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86"/>
      <c r="M7" s="86"/>
      <c r="N7" s="86"/>
      <c r="O7" s="86"/>
      <c r="P7" s="86"/>
    </row>
    <row r="8" spans="1:16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86"/>
      <c r="M8" s="86"/>
      <c r="N8" s="86"/>
      <c r="O8" s="86"/>
      <c r="P8" s="86"/>
    </row>
    <row r="9" spans="1:16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66"/>
      <c r="M9" s="65"/>
      <c r="N9" s="65"/>
      <c r="O9" s="65"/>
      <c r="P9" s="65"/>
    </row>
    <row r="10" spans="1:16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66"/>
      <c r="M10" s="65"/>
      <c r="N10" s="65"/>
      <c r="O10" s="65"/>
      <c r="P10" s="65"/>
    </row>
    <row r="11" spans="1:16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66"/>
      <c r="M11" s="65"/>
      <c r="N11" s="65"/>
      <c r="O11" s="65"/>
      <c r="P11" s="65"/>
    </row>
    <row r="12" spans="1:16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6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6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6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6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299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268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270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274</v>
      </c>
      <c r="G32" s="22" t="s">
        <v>38</v>
      </c>
      <c r="H32" s="21" t="s">
        <v>33</v>
      </c>
      <c r="I32" s="21" t="s">
        <v>248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275</v>
      </c>
      <c r="G33" s="24" t="s">
        <v>40</v>
      </c>
      <c r="H33" s="21" t="s">
        <v>33</v>
      </c>
      <c r="I33" s="21" t="s">
        <v>249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278</v>
      </c>
      <c r="G34" s="22" t="s">
        <v>38</v>
      </c>
      <c r="H34" s="21" t="s">
        <v>33</v>
      </c>
      <c r="I34" s="21" t="s">
        <v>251</v>
      </c>
      <c r="K34" s="37"/>
      <c r="L34" s="37" t="s">
        <v>383</v>
      </c>
      <c r="M34" s="20" t="str">
        <f>IF(I34="0x13","0.5",IF(I34="0x12","1","2"))</f>
        <v>1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407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0x7E</v>
      </c>
      <c r="J39" s="20" t="str">
        <f>DEC2HEX(MOD(N39,256))</f>
        <v>7E</v>
      </c>
      <c r="K39" s="37" t="str">
        <f>DEC2HEX(N39)</f>
        <v>28477E</v>
      </c>
      <c r="L39" s="78" t="s">
        <v>376</v>
      </c>
      <c r="M39" s="75">
        <f>432*524288/(P70*P73*L75/1000000)</f>
        <v>2639742.2126745433</v>
      </c>
      <c r="N39" s="75">
        <f>(M39*M34)</f>
        <v>2639742.2126745433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0x47</v>
      </c>
      <c r="J40" s="20" t="str">
        <f>DEC2HEX(MOD((N39-MOD(N39,256))/256,256))</f>
        <v>47</v>
      </c>
      <c r="K40" s="37"/>
      <c r="L40" s="78" t="s">
        <v>378</v>
      </c>
      <c r="M40" s="75">
        <f>16*524288/(P70*P73)</f>
        <v>5.8660938059434304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0x28</v>
      </c>
      <c r="J41" s="20" t="str">
        <f>DEC2HEX((N39-MOD(N39,256))/65536)</f>
        <v>28</v>
      </c>
      <c r="K41" s="37"/>
      <c r="L41" s="78" t="s">
        <v>382</v>
      </c>
      <c r="M41" s="75">
        <f>IF(M40&gt;16,M40*128, M40*256)</f>
        <v>1501.7200143215182</v>
      </c>
      <c r="N41" s="75"/>
    </row>
    <row r="42" spans="1:14" s="20" customFormat="1" x14ac:dyDescent="0.25">
      <c r="A42" s="68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284</v>
      </c>
      <c r="G42" s="22" t="s">
        <v>38</v>
      </c>
      <c r="H42" s="21" t="s">
        <v>33</v>
      </c>
      <c r="I42" s="21" t="s">
        <v>441</v>
      </c>
      <c r="K42" s="37" t="str">
        <f>DEC2HEX(M41)</f>
        <v>5DD</v>
      </c>
      <c r="L42" s="37"/>
    </row>
    <row r="43" spans="1:14" s="20" customFormat="1" x14ac:dyDescent="0.25">
      <c r="A43" s="68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284</v>
      </c>
      <c r="G43" s="24" t="s">
        <v>40</v>
      </c>
      <c r="H43" s="21" t="s">
        <v>33</v>
      </c>
      <c r="I43" s="21" t="s">
        <v>245</v>
      </c>
      <c r="K43" s="37"/>
      <c r="L43" s="37"/>
    </row>
    <row r="44" spans="1:14" s="20" customFormat="1" x14ac:dyDescent="0.25">
      <c r="A44" s="68" t="s">
        <v>429</v>
      </c>
      <c r="B44" s="50" t="s">
        <v>434</v>
      </c>
      <c r="C44" s="32"/>
      <c r="D44" s="21" t="s">
        <v>305</v>
      </c>
      <c r="E44" s="21" t="s">
        <v>37</v>
      </c>
      <c r="F44" s="21" t="s">
        <v>431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421</v>
      </c>
      <c r="B45" s="50" t="s">
        <v>422</v>
      </c>
      <c r="C45" s="32"/>
      <c r="D45" s="21" t="s">
        <v>302</v>
      </c>
      <c r="E45" s="21" t="s">
        <v>37</v>
      </c>
      <c r="F45" s="21" t="s">
        <v>414</v>
      </c>
      <c r="G45" s="22" t="s">
        <v>38</v>
      </c>
      <c r="H45" s="21" t="s">
        <v>416</v>
      </c>
      <c r="I45" s="21" t="s">
        <v>428</v>
      </c>
      <c r="K45" s="37"/>
      <c r="L45" s="37"/>
    </row>
    <row r="46" spans="1:14" s="20" customFormat="1" x14ac:dyDescent="0.25">
      <c r="A46" s="68" t="s">
        <v>420</v>
      </c>
      <c r="B46" s="50" t="s">
        <v>419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416</v>
      </c>
      <c r="I46" s="21" t="s">
        <v>425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53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163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281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53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347</v>
      </c>
      <c r="G59" s="22" t="s">
        <v>38</v>
      </c>
      <c r="H59" s="21" t="s">
        <v>350</v>
      </c>
      <c r="I59" s="21" t="s">
        <v>41</v>
      </c>
      <c r="K59" s="37"/>
      <c r="L59" s="37"/>
    </row>
    <row r="60" spans="1:12" s="20" customFormat="1" x14ac:dyDescent="0.25">
      <c r="A60" s="31" t="s">
        <v>178</v>
      </c>
      <c r="B60" s="50" t="s">
        <v>353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346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522</v>
      </c>
      <c r="C62" s="32"/>
      <c r="D62" s="21" t="s">
        <v>306</v>
      </c>
      <c r="E62" s="21" t="s">
        <v>37</v>
      </c>
      <c r="F62" s="21" t="s">
        <v>529</v>
      </c>
      <c r="G62" s="22" t="s">
        <v>38</v>
      </c>
      <c r="H62" s="21" t="s">
        <v>530</v>
      </c>
      <c r="I62" s="21" t="str">
        <f>IF(L77="NEG","0x01","0x00")</f>
        <v>0x00</v>
      </c>
      <c r="K62" s="37"/>
      <c r="L62" s="37"/>
    </row>
    <row r="63" spans="1:12" s="20" customFormat="1" x14ac:dyDescent="0.25">
      <c r="A63" s="68"/>
      <c r="B63" s="50" t="s">
        <v>525</v>
      </c>
      <c r="C63" s="32"/>
      <c r="D63" s="21" t="s">
        <v>306</v>
      </c>
      <c r="E63" s="21" t="s">
        <v>37</v>
      </c>
      <c r="F63" s="21" t="s">
        <v>529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0xFF</v>
      </c>
      <c r="J68" s="20" t="str">
        <f>DEC2HEX(MOD(K68,256))</f>
        <v>FF</v>
      </c>
      <c r="K68" s="37">
        <f>P70-1</f>
        <v>1791</v>
      </c>
      <c r="L68" s="85" t="s">
        <v>40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0x06</v>
      </c>
      <c r="J69" s="20" t="str">
        <f>DEC2HEX((K68-MOD(K68,256))/256)</f>
        <v>6</v>
      </c>
      <c r="K69" s="37"/>
      <c r="L69" s="71" t="s">
        <v>338</v>
      </c>
      <c r="M69" s="71" t="s">
        <v>314</v>
      </c>
      <c r="N69" s="71" t="s">
        <v>339</v>
      </c>
      <c r="O69" s="71" t="s">
        <v>316</v>
      </c>
      <c r="P69" s="71" t="s">
        <v>317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0x1D</v>
      </c>
      <c r="J70" s="20" t="str">
        <f>DEC2HEX(MOD(K70,256))</f>
        <v>1D</v>
      </c>
      <c r="K70" s="37">
        <f>P73-1</f>
        <v>797</v>
      </c>
      <c r="L70" s="72">
        <v>143</v>
      </c>
      <c r="M70" s="72">
        <v>213</v>
      </c>
      <c r="N70" s="72">
        <v>1366</v>
      </c>
      <c r="O70" s="72">
        <f>P70-N70-M70-L70</f>
        <v>70</v>
      </c>
      <c r="P70" s="72">
        <v>1792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0x03</v>
      </c>
      <c r="J71" s="20" t="str">
        <f>DEC2HEX((K70-MOD(K70,256))/256)</f>
        <v>3</v>
      </c>
      <c r="K71" s="37"/>
      <c r="L71" s="85" t="s">
        <v>318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313</v>
      </c>
      <c r="M72" s="71" t="s">
        <v>314</v>
      </c>
      <c r="N72" s="71" t="s">
        <v>315</v>
      </c>
      <c r="O72" s="71" t="s">
        <v>340</v>
      </c>
      <c r="P72" s="71" t="s">
        <v>317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3</v>
      </c>
      <c r="M73" s="72">
        <v>24</v>
      </c>
      <c r="N73" s="72">
        <v>768</v>
      </c>
      <c r="O73" s="72">
        <f>P73-N73-M73-L73</f>
        <v>3</v>
      </c>
      <c r="P73" s="72">
        <v>798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0x8E</v>
      </c>
      <c r="J74" s="20" t="str">
        <f>DEC2HEX(MOD(K74,256))</f>
        <v>8E</v>
      </c>
      <c r="K74" s="37">
        <f>L70-1</f>
        <v>142</v>
      </c>
      <c r="L74" s="85" t="s">
        <v>341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60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534</v>
      </c>
      <c r="M76" s="80" t="s">
        <v>536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540</v>
      </c>
      <c r="M77" s="72" t="s">
        <v>540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0x02</v>
      </c>
      <c r="J78" s="20" t="str">
        <f>DEC2HEX(MOD(K78,256))</f>
        <v>2</v>
      </c>
      <c r="K78" s="37">
        <f>L73-1</f>
        <v>2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0x64</v>
      </c>
      <c r="J80" s="20" t="str">
        <f>DEC2HEX(MOD(K80,256))</f>
        <v>64</v>
      </c>
      <c r="K80" s="37">
        <f>L70+M70</f>
        <v>356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0x01</v>
      </c>
      <c r="J81" s="20" t="str">
        <f>DEC2HEX((K80-MOD(K80,256))/256)</f>
        <v>1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0xB9</v>
      </c>
      <c r="J82" s="20" t="str">
        <f>DEC2HEX(MOD(K82,256))</f>
        <v>B9</v>
      </c>
      <c r="K82" s="37">
        <f>L70+M70+N70-1</f>
        <v>1721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0x06</v>
      </c>
      <c r="J83" s="20" t="str">
        <f>DEC2HEX((K82-MOD(K82,256))/256)</f>
        <v>6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0x1B</v>
      </c>
      <c r="J84" s="20" t="str">
        <f>DEC2HEX(MOD(K84,256))</f>
        <v>1B</v>
      </c>
      <c r="K84" s="37">
        <f>L73+M73</f>
        <v>27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284</v>
      </c>
      <c r="G86" s="22" t="s">
        <v>38</v>
      </c>
      <c r="H86" s="21" t="s">
        <v>33</v>
      </c>
      <c r="I86" s="21" t="str">
        <f t="shared" si="0"/>
        <v>0x1A</v>
      </c>
      <c r="J86" s="20" t="str">
        <f>DEC2HEX(MOD(K86,256))</f>
        <v>1A</v>
      </c>
      <c r="K86" s="37">
        <f>L73+M73+N73-1</f>
        <v>794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284</v>
      </c>
      <c r="G87" s="24" t="s">
        <v>40</v>
      </c>
      <c r="H87" s="21" t="s">
        <v>33</v>
      </c>
      <c r="I87" s="21" t="str">
        <f t="shared" si="0"/>
        <v>0x03</v>
      </c>
      <c r="J87" s="20" t="str">
        <f>DEC2HEX((K86-MOD(K86,256))/256)</f>
        <v>3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274</v>
      </c>
      <c r="G88" s="22" t="s">
        <v>38</v>
      </c>
      <c r="H88" s="21" t="s">
        <v>33</v>
      </c>
      <c r="I88" s="21" t="str">
        <f t="shared" si="0"/>
        <v>0x64</v>
      </c>
      <c r="J88" s="20" t="str">
        <f>DEC2HEX(MOD(K88,256))</f>
        <v>64</v>
      </c>
      <c r="K88" s="37">
        <f>L70+M70</f>
        <v>356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274</v>
      </c>
      <c r="G89" s="24" t="s">
        <v>40</v>
      </c>
      <c r="H89" s="21" t="s">
        <v>33</v>
      </c>
      <c r="I89" s="21" t="str">
        <f t="shared" si="0"/>
        <v>0x01</v>
      </c>
      <c r="J89" s="20" t="str">
        <f>DEC2HEX((K88-MOD(K88,256))/256)</f>
        <v>1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0xB9</v>
      </c>
      <c r="J90" s="20" t="str">
        <f>DEC2HEX(MOD(K90,256))</f>
        <v>B9</v>
      </c>
      <c r="K90" s="37">
        <f>L70+M70+N70-1</f>
        <v>1721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0x06</v>
      </c>
      <c r="J91" s="20" t="str">
        <f>DEC2HEX((K90-MOD(K90,256))/256)</f>
        <v>6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0x1B</v>
      </c>
      <c r="J92" s="20" t="str">
        <f>DEC2HEX(MOD(K92,256))</f>
        <v>1B</v>
      </c>
      <c r="K92" s="37">
        <f>L73+M73</f>
        <v>27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287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281</v>
      </c>
      <c r="G94" s="22" t="s">
        <v>38</v>
      </c>
      <c r="H94" s="21" t="s">
        <v>33</v>
      </c>
      <c r="I94" s="21" t="str">
        <f t="shared" si="0"/>
        <v>0x1A</v>
      </c>
      <c r="J94" s="20" t="str">
        <f>DEC2HEX(MOD(K94,256))</f>
        <v>1A</v>
      </c>
      <c r="K94" s="37">
        <f>L73+M73+N73-1</f>
        <v>794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281</v>
      </c>
      <c r="G95" s="24" t="s">
        <v>40</v>
      </c>
      <c r="H95" s="21" t="s">
        <v>33</v>
      </c>
      <c r="I95" s="21" t="str">
        <f t="shared" si="0"/>
        <v>0x03</v>
      </c>
      <c r="J95" s="20" t="str">
        <f>DEC2HEX((K94-MOD(K94,256))/256)</f>
        <v>3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364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0x8E</v>
      </c>
      <c r="J103" s="20" t="str">
        <f>DEC2HEX(MOD(K103,256))</f>
        <v>8E</v>
      </c>
      <c r="K103" s="37">
        <f>L70-1</f>
        <v>142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0x64</v>
      </c>
      <c r="J105" s="20" t="str">
        <f>DEC2HEX(MOD(K105,256))</f>
        <v>64</v>
      </c>
      <c r="K105" s="37">
        <f>L70+M70</f>
        <v>356</v>
      </c>
      <c r="L105" s="37"/>
    </row>
    <row r="106" spans="1:12" s="20" customFormat="1" x14ac:dyDescent="0.25">
      <c r="A106" s="68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0x01</v>
      </c>
      <c r="J106" s="20" t="str">
        <f>DEC2HEX((K105-MOD(K105,256))/256)</f>
        <v>1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0xB9</v>
      </c>
      <c r="J107" s="20" t="str">
        <f>DEC2HEX(MOD(K107,256))</f>
        <v>B9</v>
      </c>
      <c r="K107" s="37">
        <f>L70+M70+N70-1</f>
        <v>1721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0x06</v>
      </c>
      <c r="J108" s="20" t="str">
        <f>DEC2HEX((K107-MOD(K107,256))/256)</f>
        <v>6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0x1B</v>
      </c>
      <c r="J109" s="20" t="str">
        <f>DEC2HEX(MOD(K109,256))</f>
        <v>1B</v>
      </c>
      <c r="K109" s="37">
        <f>L73+M73</f>
        <v>27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294</v>
      </c>
      <c r="G111" s="22" t="s">
        <v>38</v>
      </c>
      <c r="H111" s="21" t="s">
        <v>33</v>
      </c>
      <c r="I111" s="21" t="str">
        <f t="shared" si="1"/>
        <v>0x1A</v>
      </c>
      <c r="J111" s="20" t="str">
        <f>DEC2HEX(MOD(K111,256))</f>
        <v>1A</v>
      </c>
      <c r="K111" s="37">
        <f>L73+M73+N73-1</f>
        <v>794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294</v>
      </c>
      <c r="G112" s="24" t="s">
        <v>40</v>
      </c>
      <c r="H112" s="21" t="s">
        <v>33</v>
      </c>
      <c r="I112" s="21" t="str">
        <f t="shared" si="1"/>
        <v>0x03</v>
      </c>
      <c r="J112" s="20" t="str">
        <f>DEC2HEX((K111-MOD(K111,256))/256)</f>
        <v>3</v>
      </c>
      <c r="K112" s="37"/>
      <c r="L112" s="37"/>
    </row>
    <row r="113" spans="1:16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6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6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6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6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73"/>
      <c r="M117" s="73"/>
      <c r="N117" s="73"/>
      <c r="O117" s="73"/>
      <c r="P117" s="73"/>
    </row>
    <row r="118" spans="1:16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66"/>
      <c r="M118" s="65"/>
      <c r="N118" s="65"/>
      <c r="O118" s="65"/>
      <c r="P118" s="65"/>
    </row>
    <row r="119" spans="1:16" s="20" customFormat="1" x14ac:dyDescent="0.25">
      <c r="A119" s="31" t="s">
        <v>137</v>
      </c>
      <c r="B119" s="32" t="s">
        <v>518</v>
      </c>
      <c r="C119" s="32" t="s">
        <v>521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66"/>
      <c r="M119" s="65"/>
      <c r="N119" s="65"/>
      <c r="O119" s="65"/>
      <c r="P119" s="65"/>
    </row>
    <row r="120" spans="1:16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6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6" s="20" customFormat="1" x14ac:dyDescent="0.25">
      <c r="A122" s="31" t="s">
        <v>411</v>
      </c>
      <c r="B122" s="50" t="s">
        <v>361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359</v>
      </c>
      <c r="I122" s="21" t="s">
        <v>41</v>
      </c>
      <c r="K122" s="37"/>
      <c r="L122" s="37"/>
    </row>
    <row r="123" spans="1:16" s="20" customFormat="1" x14ac:dyDescent="0.25">
      <c r="A123" s="31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384</v>
      </c>
      <c r="I123" s="21" t="s">
        <v>41</v>
      </c>
      <c r="K123" s="37"/>
      <c r="L123" s="37"/>
    </row>
    <row r="124" spans="1:16" s="20" customFormat="1" x14ac:dyDescent="0.25">
      <c r="A124" s="31" t="s">
        <v>184</v>
      </c>
      <c r="B124" s="50" t="s">
        <v>386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309</v>
      </c>
      <c r="H124" s="21" t="s">
        <v>33</v>
      </c>
      <c r="I124" s="21" t="s">
        <v>41</v>
      </c>
      <c r="K124" s="37"/>
      <c r="L124" s="37"/>
    </row>
    <row r="125" spans="1:16" s="20" customFormat="1" x14ac:dyDescent="0.25">
      <c r="A125" s="31" t="s">
        <v>184</v>
      </c>
      <c r="B125" s="50" t="s">
        <v>386</v>
      </c>
      <c r="C125" s="32" t="s">
        <v>223</v>
      </c>
      <c r="D125" s="21" t="s">
        <v>305</v>
      </c>
      <c r="E125" s="21" t="s">
        <v>37</v>
      </c>
      <c r="F125" s="21" t="s">
        <v>53</v>
      </c>
      <c r="G125" s="24" t="s">
        <v>309</v>
      </c>
      <c r="H125" s="21" t="s">
        <v>33</v>
      </c>
      <c r="I125" s="21" t="s">
        <v>39</v>
      </c>
      <c r="K125" s="37"/>
      <c r="L125" s="37"/>
    </row>
    <row r="126" spans="1:16" s="20" customFormat="1" x14ac:dyDescent="0.25">
      <c r="A126" s="31" t="s">
        <v>184</v>
      </c>
      <c r="B126" s="50" t="s">
        <v>394</v>
      </c>
      <c r="C126" s="32" t="s">
        <v>223</v>
      </c>
      <c r="D126" s="21" t="s">
        <v>305</v>
      </c>
      <c r="E126" s="21" t="s">
        <v>37</v>
      </c>
      <c r="F126" s="21" t="s">
        <v>397</v>
      </c>
      <c r="G126" s="22" t="s">
        <v>38</v>
      </c>
      <c r="H126" s="21" t="s">
        <v>399</v>
      </c>
      <c r="I126" s="21" t="s">
        <v>403</v>
      </c>
      <c r="K126" s="37"/>
      <c r="L126" s="37"/>
    </row>
    <row r="127" spans="1:16" s="20" customFormat="1" x14ac:dyDescent="0.25">
      <c r="A127" s="31" t="s">
        <v>184</v>
      </c>
      <c r="B127" s="50" t="s">
        <v>394</v>
      </c>
      <c r="C127" s="32" t="s">
        <v>223</v>
      </c>
      <c r="D127" s="21" t="s">
        <v>305</v>
      </c>
      <c r="E127" s="21" t="s">
        <v>37</v>
      </c>
      <c r="F127" s="21" t="s">
        <v>397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6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39</v>
      </c>
      <c r="K128" s="37"/>
      <c r="L128" s="37"/>
    </row>
    <row r="129" spans="1:16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39</v>
      </c>
      <c r="K129" s="37"/>
      <c r="L129" s="37"/>
    </row>
    <row r="130" spans="1:16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39</v>
      </c>
      <c r="K130" s="37"/>
      <c r="L130" s="37"/>
    </row>
    <row r="131" spans="1:16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39</v>
      </c>
      <c r="K131" s="37"/>
      <c r="L131" s="37"/>
    </row>
    <row r="132" spans="1:16" s="20" customFormat="1" x14ac:dyDescent="0.25">
      <c r="A132" s="31" t="s">
        <v>451</v>
      </c>
      <c r="B132" s="32" t="s">
        <v>452</v>
      </c>
      <c r="C132" s="32"/>
      <c r="D132" s="21" t="s">
        <v>308</v>
      </c>
      <c r="E132" s="21" t="s">
        <v>37</v>
      </c>
      <c r="F132" s="21" t="s">
        <v>454</v>
      </c>
      <c r="G132" s="22" t="s">
        <v>38</v>
      </c>
      <c r="H132" s="21" t="s">
        <v>456</v>
      </c>
      <c r="I132" s="21" t="s">
        <v>458</v>
      </c>
      <c r="K132" s="37"/>
      <c r="L132" s="66"/>
      <c r="M132" s="65"/>
      <c r="N132" s="65"/>
      <c r="O132" s="65"/>
      <c r="P132" s="65"/>
    </row>
    <row r="133" spans="1:16" s="20" customFormat="1" x14ac:dyDescent="0.25">
      <c r="A133" s="31" t="s">
        <v>451</v>
      </c>
      <c r="B133" s="32" t="s">
        <v>459</v>
      </c>
      <c r="C133" s="32"/>
      <c r="D133" s="21" t="s">
        <v>308</v>
      </c>
      <c r="E133" s="21" t="s">
        <v>37</v>
      </c>
      <c r="F133" s="21" t="s">
        <v>454</v>
      </c>
      <c r="G133" s="24" t="s">
        <v>460</v>
      </c>
      <c r="H133" s="21" t="s">
        <v>456</v>
      </c>
      <c r="I133" s="21" t="s">
        <v>461</v>
      </c>
      <c r="K133" s="37"/>
      <c r="L133" s="66"/>
      <c r="M133" s="65"/>
      <c r="N133" s="65"/>
      <c r="O133" s="65"/>
      <c r="P133" s="65"/>
    </row>
    <row r="134" spans="1:16" s="20" customFormat="1" x14ac:dyDescent="0.25">
      <c r="A134" s="31" t="s">
        <v>451</v>
      </c>
      <c r="B134" s="32" t="s">
        <v>462</v>
      </c>
      <c r="C134" s="32"/>
      <c r="D134" s="21" t="s">
        <v>308</v>
      </c>
      <c r="E134" s="21" t="s">
        <v>37</v>
      </c>
      <c r="F134" s="21" t="s">
        <v>458</v>
      </c>
      <c r="G134" s="22" t="s">
        <v>38</v>
      </c>
      <c r="H134" s="21" t="s">
        <v>456</v>
      </c>
      <c r="I134" s="21" t="s">
        <v>454</v>
      </c>
      <c r="K134" s="37"/>
      <c r="L134" s="66"/>
      <c r="M134" s="65"/>
      <c r="N134" s="65"/>
      <c r="O134" s="65"/>
      <c r="P134" s="65"/>
    </row>
    <row r="135" spans="1:16" s="20" customFormat="1" x14ac:dyDescent="0.25">
      <c r="A135" s="31" t="s">
        <v>451</v>
      </c>
      <c r="B135" s="32" t="s">
        <v>464</v>
      </c>
      <c r="C135" s="32"/>
      <c r="D135" s="21" t="s">
        <v>308</v>
      </c>
      <c r="E135" s="21" t="s">
        <v>37</v>
      </c>
      <c r="F135" s="21" t="s">
        <v>458</v>
      </c>
      <c r="G135" s="24" t="s">
        <v>460</v>
      </c>
      <c r="H135" s="21" t="s">
        <v>456</v>
      </c>
      <c r="I135" s="21" t="s">
        <v>458</v>
      </c>
      <c r="K135" s="37"/>
      <c r="L135" s="66"/>
      <c r="M135" s="65"/>
      <c r="N135" s="65"/>
      <c r="O135" s="65"/>
      <c r="P135" s="65"/>
    </row>
    <row r="136" spans="1:16" s="20" customFormat="1" x14ac:dyDescent="0.25">
      <c r="A136" s="31" t="s">
        <v>450</v>
      </c>
      <c r="B136" s="32" t="s">
        <v>504</v>
      </c>
      <c r="C136" s="32"/>
      <c r="D136" s="21" t="s">
        <v>308</v>
      </c>
      <c r="E136" s="21" t="s">
        <v>37</v>
      </c>
      <c r="F136" s="21" t="s">
        <v>506</v>
      </c>
      <c r="G136" s="22" t="s">
        <v>38</v>
      </c>
      <c r="H136" s="21" t="s">
        <v>33</v>
      </c>
      <c r="I136" s="21" t="s">
        <v>283</v>
      </c>
      <c r="K136" s="37"/>
      <c r="L136" s="37"/>
    </row>
    <row r="137" spans="1:16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6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6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6" s="20" customFormat="1" x14ac:dyDescent="0.25">
      <c r="A140" s="60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6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6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"/>
    <protectedRange password="EBC5" sqref="I39:I41" name="範圍1_3_3_1_1_1_2_1_1_2_1_1"/>
    <protectedRange password="EBC5" sqref="I101:I112 I68:I95" name="範圍1_3_3_1_1_1_2_1_1_2_1_1_1_1"/>
    <protectedRange password="EBC5" sqref="I132:I135" name="範圍1_3_3_1_1_1_2_1_1_2_3"/>
    <protectedRange password="EBC5" sqref="I136" name="範圍1_3_3_1_1_1_2_1_1_2_4"/>
  </protectedRanges>
  <mergeCells count="13">
    <mergeCell ref="L68:P68"/>
    <mergeCell ref="L71:P71"/>
    <mergeCell ref="L74:P74"/>
    <mergeCell ref="L75:P75"/>
    <mergeCell ref="L7:P7"/>
    <mergeCell ref="L8:P8"/>
    <mergeCell ref="A1:C1"/>
    <mergeCell ref="A53:C53"/>
    <mergeCell ref="A66:C66"/>
    <mergeCell ref="D141:G141"/>
    <mergeCell ref="A37:C37"/>
    <mergeCell ref="A99:C99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FF00"/>
  </sheetPr>
  <dimension ref="A1:U142"/>
  <sheetViews>
    <sheetView topLeftCell="A58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8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299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268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270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274</v>
      </c>
      <c r="G32" s="22" t="s">
        <v>38</v>
      </c>
      <c r="H32" s="21" t="s">
        <v>33</v>
      </c>
      <c r="I32" s="21" t="s">
        <v>41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274</v>
      </c>
      <c r="G33" s="24" t="s">
        <v>40</v>
      </c>
      <c r="H33" s="21" t="s">
        <v>33</v>
      </c>
      <c r="I33" s="21" t="s">
        <v>125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278</v>
      </c>
      <c r="G34" s="22" t="s">
        <v>38</v>
      </c>
      <c r="H34" s="21" t="s">
        <v>33</v>
      </c>
      <c r="I34" s="21" t="s">
        <v>145</v>
      </c>
      <c r="K34" s="37"/>
      <c r="L34" s="37" t="s">
        <v>383</v>
      </c>
      <c r="M34" s="20" t="str">
        <f>IF(I34="0x13","0.5",IF(I34="0x12","1","2"))</f>
        <v>1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407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0xCB</v>
      </c>
      <c r="J39" s="20" t="str">
        <f>DEC2HEX(MOD(N39,256))</f>
        <v>CB</v>
      </c>
      <c r="K39" s="37" t="str">
        <f>DEC2HEX(N39)</f>
        <v>2063CB</v>
      </c>
      <c r="L39" s="78" t="s">
        <v>377</v>
      </c>
      <c r="M39" s="75">
        <f>432*524288/(P70*P73*L75/1000000)</f>
        <v>2122699.8722401168</v>
      </c>
      <c r="N39" s="75">
        <f>(M39*M34)</f>
        <v>2122699.8722401168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0x63</v>
      </c>
      <c r="J40" s="20" t="str">
        <f>DEC2HEX(MOD((N39-MOD(N39,256))/256,256))</f>
        <v>63</v>
      </c>
      <c r="K40" s="37"/>
      <c r="L40" s="78" t="s">
        <v>378</v>
      </c>
      <c r="M40" s="75">
        <f>16*524288/(P70*P73)</f>
        <v>4.7171108272002593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0x20</v>
      </c>
      <c r="J41" s="20" t="str">
        <f>DEC2HEX((N39-MOD(N39,256))/65536)</f>
        <v>20</v>
      </c>
      <c r="K41" s="37"/>
      <c r="L41" s="78" t="s">
        <v>381</v>
      </c>
      <c r="M41" s="75">
        <f>IF(M40&gt;16,M40*128, M40*256)</f>
        <v>1207.5803717632664</v>
      </c>
      <c r="N41" s="75"/>
    </row>
    <row r="42" spans="1:14" s="20" customFormat="1" x14ac:dyDescent="0.25">
      <c r="A42" s="68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285</v>
      </c>
      <c r="G42" s="22" t="s">
        <v>38</v>
      </c>
      <c r="H42" s="21" t="s">
        <v>33</v>
      </c>
      <c r="I42" s="21" t="s">
        <v>443</v>
      </c>
      <c r="K42" s="37" t="str">
        <f>DEC2HEX(M41)</f>
        <v>4B7</v>
      </c>
      <c r="L42" s="37"/>
    </row>
    <row r="43" spans="1:14" s="20" customFormat="1" x14ac:dyDescent="0.25">
      <c r="A43" s="68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285</v>
      </c>
      <c r="G43" s="24" t="s">
        <v>40</v>
      </c>
      <c r="H43" s="21" t="s">
        <v>33</v>
      </c>
      <c r="I43" s="21" t="s">
        <v>442</v>
      </c>
      <c r="K43" s="37"/>
      <c r="L43" s="37"/>
    </row>
    <row r="44" spans="1:14" s="20" customFormat="1" x14ac:dyDescent="0.25">
      <c r="A44" s="68" t="s">
        <v>429</v>
      </c>
      <c r="B44" s="50" t="s">
        <v>435</v>
      </c>
      <c r="C44" s="32"/>
      <c r="D44" s="21" t="s">
        <v>305</v>
      </c>
      <c r="E44" s="21" t="s">
        <v>37</v>
      </c>
      <c r="F44" s="21" t="s">
        <v>432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421</v>
      </c>
      <c r="B45" s="50" t="s">
        <v>422</v>
      </c>
      <c r="C45" s="32"/>
      <c r="D45" s="21" t="s">
        <v>302</v>
      </c>
      <c r="E45" s="21" t="s">
        <v>37</v>
      </c>
      <c r="F45" s="21" t="s">
        <v>413</v>
      </c>
      <c r="G45" s="22" t="s">
        <v>38</v>
      </c>
      <c r="H45" s="21" t="s">
        <v>416</v>
      </c>
      <c r="I45" s="21" t="s">
        <v>428</v>
      </c>
      <c r="K45" s="37"/>
      <c r="L45" s="37"/>
    </row>
    <row r="46" spans="1:14" s="20" customFormat="1" x14ac:dyDescent="0.25">
      <c r="A46" s="68" t="s">
        <v>420</v>
      </c>
      <c r="B46" s="50" t="s">
        <v>419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417</v>
      </c>
      <c r="I46" s="21" t="s">
        <v>427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53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163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281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53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41</v>
      </c>
      <c r="K59" s="37"/>
      <c r="L59" s="37"/>
    </row>
    <row r="60" spans="1:12" s="20" customFormat="1" x14ac:dyDescent="0.25">
      <c r="A60" s="31" t="s">
        <v>178</v>
      </c>
      <c r="B60" s="50" t="s">
        <v>353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345</v>
      </c>
      <c r="C61" s="32" t="s">
        <v>344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523</v>
      </c>
      <c r="C62" s="32"/>
      <c r="D62" s="21" t="s">
        <v>306</v>
      </c>
      <c r="E62" s="21" t="s">
        <v>37</v>
      </c>
      <c r="F62" s="21" t="s">
        <v>528</v>
      </c>
      <c r="G62" s="22" t="s">
        <v>38</v>
      </c>
      <c r="H62" s="21" t="s">
        <v>131</v>
      </c>
      <c r="I62" s="21" t="str">
        <f>IF(L77="NEG","0x01","0x00")</f>
        <v>0x01</v>
      </c>
      <c r="K62" s="37"/>
      <c r="L62" s="37"/>
    </row>
    <row r="63" spans="1:12" s="20" customFormat="1" x14ac:dyDescent="0.25">
      <c r="A63" s="68"/>
      <c r="B63" s="50" t="s">
        <v>525</v>
      </c>
      <c r="C63" s="32"/>
      <c r="D63" s="21" t="s">
        <v>306</v>
      </c>
      <c r="E63" s="21" t="s">
        <v>37</v>
      </c>
      <c r="F63" s="21" t="s">
        <v>528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0x6F</v>
      </c>
      <c r="J68" s="20" t="str">
        <f>DEC2HEX(MOD(K68,256))</f>
        <v>6F</v>
      </c>
      <c r="K68" s="37">
        <f>P70-1</f>
        <v>1903</v>
      </c>
      <c r="L68" s="85" t="s">
        <v>332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0x07</v>
      </c>
      <c r="J69" s="20" t="str">
        <f>DEC2HEX((K68-MOD(K68,256))/256)</f>
        <v>7</v>
      </c>
      <c r="K69" s="37"/>
      <c r="L69" s="71" t="s">
        <v>329</v>
      </c>
      <c r="M69" s="71" t="s">
        <v>314</v>
      </c>
      <c r="N69" s="71" t="s">
        <v>315</v>
      </c>
      <c r="O69" s="71" t="s">
        <v>335</v>
      </c>
      <c r="P69" s="71" t="s">
        <v>336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0xA5</v>
      </c>
      <c r="J70" s="20" t="str">
        <f>DEC2HEX(MOD(K70,256))</f>
        <v>A5</v>
      </c>
      <c r="K70" s="37">
        <f>P73-1</f>
        <v>933</v>
      </c>
      <c r="L70" s="72">
        <v>152</v>
      </c>
      <c r="M70" s="72">
        <v>232</v>
      </c>
      <c r="N70" s="72">
        <v>1440</v>
      </c>
      <c r="O70" s="72">
        <f>P70-N70-M70-L70</f>
        <v>80</v>
      </c>
      <c r="P70" s="72">
        <v>1904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0x03</v>
      </c>
      <c r="J71" s="20" t="str">
        <f>DEC2HEX((K70-MOD(K70,256))/256)</f>
        <v>3</v>
      </c>
      <c r="K71" s="37"/>
      <c r="L71" s="85" t="s">
        <v>328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329</v>
      </c>
      <c r="M72" s="71" t="s">
        <v>333</v>
      </c>
      <c r="N72" s="71" t="s">
        <v>334</v>
      </c>
      <c r="O72" s="71" t="s">
        <v>335</v>
      </c>
      <c r="P72" s="71" t="s">
        <v>336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6</v>
      </c>
      <c r="M73" s="72">
        <v>25</v>
      </c>
      <c r="N73" s="72">
        <v>900</v>
      </c>
      <c r="O73" s="72">
        <f>P73-N73-M73-L73</f>
        <v>3</v>
      </c>
      <c r="P73" s="72">
        <v>934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0x97</v>
      </c>
      <c r="J74" s="20" t="str">
        <f>DEC2HEX(MOD(K74,256))</f>
        <v>97</v>
      </c>
      <c r="K74" s="37">
        <f>L70-1</f>
        <v>151</v>
      </c>
      <c r="L74" s="85" t="s">
        <v>331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60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534</v>
      </c>
      <c r="M76" s="80" t="s">
        <v>537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542</v>
      </c>
      <c r="M77" s="72" t="s">
        <v>541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0x05</v>
      </c>
      <c r="J78" s="20" t="str">
        <f>DEC2HEX(MOD(K78,256))</f>
        <v>5</v>
      </c>
      <c r="K78" s="37">
        <f>L73-1</f>
        <v>5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0x80</v>
      </c>
      <c r="J80" s="20" t="str">
        <f>DEC2HEX(MOD(K80,256))</f>
        <v>80</v>
      </c>
      <c r="K80" s="37">
        <f>L70+M70</f>
        <v>384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0x01</v>
      </c>
      <c r="J81" s="20" t="str">
        <f>DEC2HEX((K80-MOD(K80,256))/256)</f>
        <v>1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0x1F</v>
      </c>
      <c r="J82" s="20" t="str">
        <f>DEC2HEX(MOD(K82,256))</f>
        <v>1F</v>
      </c>
      <c r="K82" s="37">
        <f>L70+M70+N70-1</f>
        <v>1823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0x07</v>
      </c>
      <c r="J83" s="20" t="str">
        <f>DEC2HEX((K82-MOD(K82,256))/256)</f>
        <v>7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0x1F</v>
      </c>
      <c r="J84" s="20" t="str">
        <f>DEC2HEX(MOD(K84,256))</f>
        <v>1F</v>
      </c>
      <c r="K84" s="37">
        <f>L73+M73</f>
        <v>31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284</v>
      </c>
      <c r="G86" s="22" t="s">
        <v>38</v>
      </c>
      <c r="H86" s="21" t="s">
        <v>33</v>
      </c>
      <c r="I86" s="21" t="str">
        <f t="shared" si="0"/>
        <v>0xA2</v>
      </c>
      <c r="J86" s="20" t="str">
        <f>DEC2HEX(MOD(K86,256))</f>
        <v>A2</v>
      </c>
      <c r="K86" s="37">
        <f>L73+M73+N73-1</f>
        <v>930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284</v>
      </c>
      <c r="G87" s="24" t="s">
        <v>40</v>
      </c>
      <c r="H87" s="21" t="s">
        <v>33</v>
      </c>
      <c r="I87" s="21" t="str">
        <f t="shared" si="0"/>
        <v>0x03</v>
      </c>
      <c r="J87" s="20" t="str">
        <f>DEC2HEX((K86-MOD(K86,256))/256)</f>
        <v>3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274</v>
      </c>
      <c r="G88" s="22" t="s">
        <v>38</v>
      </c>
      <c r="H88" s="21" t="s">
        <v>33</v>
      </c>
      <c r="I88" s="21" t="str">
        <f t="shared" si="0"/>
        <v>0x80</v>
      </c>
      <c r="J88" s="20" t="str">
        <f>DEC2HEX(MOD(K88,256))</f>
        <v>80</v>
      </c>
      <c r="K88" s="37">
        <f>L70+M70</f>
        <v>384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274</v>
      </c>
      <c r="G89" s="24" t="s">
        <v>40</v>
      </c>
      <c r="H89" s="21" t="s">
        <v>33</v>
      </c>
      <c r="I89" s="21" t="str">
        <f t="shared" si="0"/>
        <v>0x01</v>
      </c>
      <c r="J89" s="20" t="str">
        <f>DEC2HEX((K88-MOD(K88,256))/256)</f>
        <v>1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0x1F</v>
      </c>
      <c r="J90" s="20" t="str">
        <f>DEC2HEX(MOD(K90,256))</f>
        <v>1F</v>
      </c>
      <c r="K90" s="37">
        <f>L70+M70+N70-1</f>
        <v>1823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0x07</v>
      </c>
      <c r="J91" s="20" t="str">
        <f>DEC2HEX((K90-MOD(K90,256))/256)</f>
        <v>7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0x1F</v>
      </c>
      <c r="J92" s="20" t="str">
        <f>DEC2HEX(MOD(K92,256))</f>
        <v>1F</v>
      </c>
      <c r="K92" s="37">
        <f>L73+M73</f>
        <v>31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291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281</v>
      </c>
      <c r="G94" s="22" t="s">
        <v>38</v>
      </c>
      <c r="H94" s="21" t="s">
        <v>33</v>
      </c>
      <c r="I94" s="21" t="str">
        <f t="shared" si="0"/>
        <v>0xA2</v>
      </c>
      <c r="J94" s="20" t="str">
        <f>DEC2HEX(MOD(K94,256))</f>
        <v>A2</v>
      </c>
      <c r="K94" s="37">
        <f>L73+M73+N73-1</f>
        <v>930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281</v>
      </c>
      <c r="G95" s="24" t="s">
        <v>40</v>
      </c>
      <c r="H95" s="21" t="s">
        <v>33</v>
      </c>
      <c r="I95" s="21" t="str">
        <f t="shared" si="0"/>
        <v>0x03</v>
      </c>
      <c r="J95" s="20" t="str">
        <f>DEC2HEX((K94-MOD(K94,256))/256)</f>
        <v>3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364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0x97</v>
      </c>
      <c r="J103" s="20" t="str">
        <f>DEC2HEX(MOD(K103,256))</f>
        <v>97</v>
      </c>
      <c r="K103" s="37">
        <f>L70-1</f>
        <v>151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0x80</v>
      </c>
      <c r="J105" s="20" t="str">
        <f>DEC2HEX(MOD(K105,256))</f>
        <v>80</v>
      </c>
      <c r="K105" s="37">
        <f>L70+M70</f>
        <v>384</v>
      </c>
      <c r="L105" s="37"/>
    </row>
    <row r="106" spans="1:12" s="20" customFormat="1" x14ac:dyDescent="0.25">
      <c r="A106" s="68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0x01</v>
      </c>
      <c r="J106" s="20" t="str">
        <f>DEC2HEX((K105-MOD(K105,256))/256)</f>
        <v>1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0x1F</v>
      </c>
      <c r="J107" s="20" t="str">
        <f>DEC2HEX(MOD(K107,256))</f>
        <v>1F</v>
      </c>
      <c r="K107" s="37">
        <f>L70+M70+N70-1</f>
        <v>1823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0x07</v>
      </c>
      <c r="J108" s="20" t="str">
        <f>DEC2HEX((K107-MOD(K107,256))/256)</f>
        <v>7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0x1F</v>
      </c>
      <c r="J109" s="20" t="str">
        <f>DEC2HEX(MOD(K109,256))</f>
        <v>1F</v>
      </c>
      <c r="K109" s="37">
        <f>L73+M73</f>
        <v>31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295</v>
      </c>
      <c r="G111" s="22" t="s">
        <v>38</v>
      </c>
      <c r="H111" s="21" t="s">
        <v>33</v>
      </c>
      <c r="I111" s="21" t="str">
        <f t="shared" si="1"/>
        <v>0xA2</v>
      </c>
      <c r="J111" s="20" t="str">
        <f>DEC2HEX(MOD(K111,256))</f>
        <v>A2</v>
      </c>
      <c r="K111" s="37">
        <f>L73+M73+N73-1</f>
        <v>930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295</v>
      </c>
      <c r="G112" s="24" t="s">
        <v>40</v>
      </c>
      <c r="H112" s="21" t="s">
        <v>33</v>
      </c>
      <c r="I112" s="21" t="str">
        <f t="shared" si="1"/>
        <v>0x03</v>
      </c>
      <c r="J112" s="20" t="str">
        <f>DEC2HEX((K111-MOD(K111,256))/256)</f>
        <v>3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518</v>
      </c>
      <c r="C119" s="32" t="s">
        <v>521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411</v>
      </c>
      <c r="B122" s="50" t="s">
        <v>362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359</v>
      </c>
      <c r="I122" s="21" t="s">
        <v>41</v>
      </c>
      <c r="K122" s="37"/>
      <c r="L122" s="37"/>
    </row>
    <row r="123" spans="1:12" s="20" customFormat="1" x14ac:dyDescent="0.25">
      <c r="A123" s="31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384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387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309</v>
      </c>
      <c r="H124" s="21" t="s">
        <v>33</v>
      </c>
      <c r="I124" s="21" t="s">
        <v>367</v>
      </c>
      <c r="K124" s="37"/>
      <c r="L124" s="37"/>
    </row>
    <row r="125" spans="1:12" s="20" customFormat="1" x14ac:dyDescent="0.25">
      <c r="A125" s="31" t="s">
        <v>184</v>
      </c>
      <c r="B125" s="50" t="s">
        <v>387</v>
      </c>
      <c r="C125" s="32" t="s">
        <v>223</v>
      </c>
      <c r="D125" s="21" t="s">
        <v>305</v>
      </c>
      <c r="E125" s="21" t="s">
        <v>37</v>
      </c>
      <c r="F125" s="21" t="s">
        <v>53</v>
      </c>
      <c r="G125" s="24" t="s">
        <v>309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393</v>
      </c>
      <c r="C126" s="32" t="s">
        <v>223</v>
      </c>
      <c r="D126" s="21" t="s">
        <v>305</v>
      </c>
      <c r="E126" s="21" t="s">
        <v>37</v>
      </c>
      <c r="F126" s="21" t="s">
        <v>397</v>
      </c>
      <c r="G126" s="22" t="s">
        <v>38</v>
      </c>
      <c r="H126" s="21" t="s">
        <v>399</v>
      </c>
      <c r="I126" s="21" t="s">
        <v>402</v>
      </c>
      <c r="K126" s="37"/>
      <c r="L126" s="37"/>
    </row>
    <row r="127" spans="1:12" s="20" customFormat="1" x14ac:dyDescent="0.25">
      <c r="A127" s="31" t="s">
        <v>184</v>
      </c>
      <c r="B127" s="50" t="s">
        <v>393</v>
      </c>
      <c r="C127" s="32" t="s">
        <v>223</v>
      </c>
      <c r="D127" s="21" t="s">
        <v>305</v>
      </c>
      <c r="E127" s="21" t="s">
        <v>37</v>
      </c>
      <c r="F127" s="21" t="s">
        <v>397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39</v>
      </c>
      <c r="K128" s="37"/>
      <c r="L128" s="37"/>
    </row>
    <row r="129" spans="1:12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39</v>
      </c>
      <c r="K129" s="37"/>
      <c r="L129" s="37"/>
    </row>
    <row r="130" spans="1:12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39</v>
      </c>
      <c r="K130" s="37"/>
      <c r="L130" s="37"/>
    </row>
    <row r="131" spans="1:12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39</v>
      </c>
      <c r="K131" s="37"/>
      <c r="L131" s="37"/>
    </row>
    <row r="132" spans="1:12" s="20" customFormat="1" x14ac:dyDescent="0.25">
      <c r="A132" s="31" t="s">
        <v>450</v>
      </c>
      <c r="B132" s="32" t="s">
        <v>452</v>
      </c>
      <c r="C132" s="32"/>
      <c r="D132" s="21" t="s">
        <v>308</v>
      </c>
      <c r="E132" s="21" t="s">
        <v>37</v>
      </c>
      <c r="F132" s="21" t="s">
        <v>453</v>
      </c>
      <c r="G132" s="22" t="s">
        <v>38</v>
      </c>
      <c r="H132" s="21" t="s">
        <v>455</v>
      </c>
      <c r="I132" s="21" t="s">
        <v>457</v>
      </c>
      <c r="K132" s="37"/>
      <c r="L132" s="37"/>
    </row>
    <row r="133" spans="1:12" s="20" customFormat="1" x14ac:dyDescent="0.25">
      <c r="A133" s="31" t="s">
        <v>450</v>
      </c>
      <c r="B133" s="32" t="s">
        <v>465</v>
      </c>
      <c r="C133" s="32"/>
      <c r="D133" s="21" t="s">
        <v>308</v>
      </c>
      <c r="E133" s="21" t="s">
        <v>37</v>
      </c>
      <c r="F133" s="21" t="s">
        <v>453</v>
      </c>
      <c r="G133" s="24" t="s">
        <v>40</v>
      </c>
      <c r="H133" s="21" t="s">
        <v>455</v>
      </c>
      <c r="I133" s="21" t="s">
        <v>466</v>
      </c>
      <c r="K133" s="37"/>
      <c r="L133" s="37"/>
    </row>
    <row r="134" spans="1:12" s="20" customFormat="1" x14ac:dyDescent="0.25">
      <c r="A134" s="31" t="s">
        <v>450</v>
      </c>
      <c r="B134" s="32" t="s">
        <v>467</v>
      </c>
      <c r="C134" s="32"/>
      <c r="D134" s="21" t="s">
        <v>308</v>
      </c>
      <c r="E134" s="21" t="s">
        <v>37</v>
      </c>
      <c r="F134" s="21" t="s">
        <v>457</v>
      </c>
      <c r="G134" s="22" t="s">
        <v>38</v>
      </c>
      <c r="H134" s="21" t="s">
        <v>455</v>
      </c>
      <c r="I134" s="21" t="s">
        <v>453</v>
      </c>
      <c r="K134" s="37"/>
      <c r="L134" s="37"/>
    </row>
    <row r="135" spans="1:12" s="20" customFormat="1" x14ac:dyDescent="0.25">
      <c r="A135" s="31" t="s">
        <v>450</v>
      </c>
      <c r="B135" s="32" t="s">
        <v>463</v>
      </c>
      <c r="C135" s="32"/>
      <c r="D135" s="21" t="s">
        <v>308</v>
      </c>
      <c r="E135" s="21" t="s">
        <v>37</v>
      </c>
      <c r="F135" s="21" t="s">
        <v>457</v>
      </c>
      <c r="G135" s="24" t="s">
        <v>40</v>
      </c>
      <c r="H135" s="21" t="s">
        <v>455</v>
      </c>
      <c r="I135" s="21" t="s">
        <v>457</v>
      </c>
      <c r="K135" s="37"/>
      <c r="L135" s="37"/>
    </row>
    <row r="136" spans="1:12" s="20" customFormat="1" x14ac:dyDescent="0.25">
      <c r="A136" s="31" t="s">
        <v>450</v>
      </c>
      <c r="B136" s="32" t="s">
        <v>504</v>
      </c>
      <c r="C136" s="32"/>
      <c r="D136" s="21" t="s">
        <v>308</v>
      </c>
      <c r="E136" s="21" t="s">
        <v>37</v>
      </c>
      <c r="F136" s="21" t="s">
        <v>505</v>
      </c>
      <c r="G136" s="22" t="s">
        <v>38</v>
      </c>
      <c r="H136" s="21" t="s">
        <v>33</v>
      </c>
      <c r="I136" s="21" t="s">
        <v>283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60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"/>
    <protectedRange password="EBC5" sqref="I39:I41" name="範圍1_3_3_1_1_1_2_1_1_2_1_1"/>
    <protectedRange password="EBC5" sqref="I101:I112 I68:I95" name="範圍1_3_3_1_1_1_2_1_1_2_1_1_1_1"/>
    <protectedRange password="EBC5" sqref="I132:I135" name="範圍1_3_3_1_1_1_2_1_1_2_3"/>
    <protectedRange password="EBC5" sqref="I136" name="範圍1_3_3_1_1_1_2_1_1_2_4"/>
  </protectedRanges>
  <mergeCells count="11">
    <mergeCell ref="L68:P68"/>
    <mergeCell ref="L71:P71"/>
    <mergeCell ref="L74:P74"/>
    <mergeCell ref="L75:P75"/>
    <mergeCell ref="A99:C99"/>
    <mergeCell ref="A1:C1"/>
    <mergeCell ref="A53:C53"/>
    <mergeCell ref="A66:C66"/>
    <mergeCell ref="D141:G141"/>
    <mergeCell ref="A37:C37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FF00"/>
  </sheetPr>
  <dimension ref="A1:U142"/>
  <sheetViews>
    <sheetView topLeftCell="A62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8.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300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268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270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273</v>
      </c>
      <c r="G32" s="22" t="s">
        <v>38</v>
      </c>
      <c r="H32" s="21" t="s">
        <v>33</v>
      </c>
      <c r="I32" s="21" t="s">
        <v>255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275</v>
      </c>
      <c r="G33" s="24" t="s">
        <v>40</v>
      </c>
      <c r="H33" s="21" t="s">
        <v>33</v>
      </c>
      <c r="I33" s="21" t="s">
        <v>256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278</v>
      </c>
      <c r="G34" s="22" t="s">
        <v>38</v>
      </c>
      <c r="H34" s="21" t="s">
        <v>33</v>
      </c>
      <c r="I34" s="21" t="s">
        <v>257</v>
      </c>
      <c r="K34" s="37"/>
      <c r="L34" s="37" t="s">
        <v>383</v>
      </c>
      <c r="M34" s="20" t="str">
        <f>IF(I34="0x13","0.5",IF(I34="0x12","1","2"))</f>
        <v>1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407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0xDD</v>
      </c>
      <c r="J39" s="20" t="str">
        <f>DEC2HEX(MOD(N39,256))</f>
        <v>DD</v>
      </c>
      <c r="K39" s="37" t="str">
        <f>DEC2HEX(N39)</f>
        <v>179CDD</v>
      </c>
      <c r="L39" s="78" t="s">
        <v>377</v>
      </c>
      <c r="M39" s="75">
        <f>432*524288/(P70*P73*L75/1000000)</f>
        <v>1547485.2420306965</v>
      </c>
      <c r="N39" s="75">
        <f>(M39*M34)</f>
        <v>1547485.2420306965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0x9C</v>
      </c>
      <c r="J40" s="20" t="str">
        <f>DEC2HEX(MOD((N39-MOD(N39,256))/256,256))</f>
        <v>9C</v>
      </c>
      <c r="K40" s="37"/>
      <c r="L40" s="78" t="s">
        <v>378</v>
      </c>
      <c r="M40" s="75">
        <f>16*524288/(P70*P73)</f>
        <v>3.4388560934015477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0x17</v>
      </c>
      <c r="J41" s="20" t="str">
        <f>DEC2HEX((N39-MOD(N39,256))/65536)</f>
        <v>17</v>
      </c>
      <c r="K41" s="37"/>
      <c r="L41" s="78" t="s">
        <v>381</v>
      </c>
      <c r="M41" s="75">
        <f>IF(M40&gt;16,M40*128, M40*256)</f>
        <v>880.34715991079622</v>
      </c>
      <c r="N41" s="75"/>
    </row>
    <row r="42" spans="1:14" s="20" customFormat="1" x14ac:dyDescent="0.25">
      <c r="A42" s="68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284</v>
      </c>
      <c r="G42" s="22" t="s">
        <v>38</v>
      </c>
      <c r="H42" s="21" t="s">
        <v>33</v>
      </c>
      <c r="I42" s="21" t="s">
        <v>445</v>
      </c>
      <c r="K42" s="37" t="str">
        <f>DEC2HEX(M41)</f>
        <v>370</v>
      </c>
      <c r="L42" s="37"/>
    </row>
    <row r="43" spans="1:14" s="20" customFormat="1" x14ac:dyDescent="0.25">
      <c r="A43" s="68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284</v>
      </c>
      <c r="G43" s="24" t="s">
        <v>40</v>
      </c>
      <c r="H43" s="21" t="s">
        <v>33</v>
      </c>
      <c r="I43" s="21" t="s">
        <v>131</v>
      </c>
      <c r="K43" s="37"/>
      <c r="L43" s="37"/>
    </row>
    <row r="44" spans="1:14" s="20" customFormat="1" x14ac:dyDescent="0.25">
      <c r="A44" s="68" t="s">
        <v>429</v>
      </c>
      <c r="B44" s="50" t="s">
        <v>434</v>
      </c>
      <c r="C44" s="32"/>
      <c r="D44" s="21" t="s">
        <v>305</v>
      </c>
      <c r="E44" s="21" t="s">
        <v>37</v>
      </c>
      <c r="F44" s="21" t="s">
        <v>432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421</v>
      </c>
      <c r="B45" s="50" t="s">
        <v>422</v>
      </c>
      <c r="C45" s="32"/>
      <c r="D45" s="21" t="s">
        <v>302</v>
      </c>
      <c r="E45" s="21" t="s">
        <v>37</v>
      </c>
      <c r="F45" s="21" t="s">
        <v>414</v>
      </c>
      <c r="G45" s="22" t="s">
        <v>38</v>
      </c>
      <c r="H45" s="21" t="s">
        <v>416</v>
      </c>
      <c r="I45" s="21" t="s">
        <v>428</v>
      </c>
      <c r="K45" s="37"/>
      <c r="L45" s="37"/>
    </row>
    <row r="46" spans="1:14" s="20" customFormat="1" x14ac:dyDescent="0.25">
      <c r="A46" s="68" t="s">
        <v>421</v>
      </c>
      <c r="B46" s="50" t="s">
        <v>419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417</v>
      </c>
      <c r="I46" s="21" t="s">
        <v>426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53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163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280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53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41</v>
      </c>
      <c r="K59" s="37"/>
      <c r="L59" s="37"/>
    </row>
    <row r="60" spans="1:12" s="20" customFormat="1" x14ac:dyDescent="0.25">
      <c r="A60" s="31" t="s">
        <v>178</v>
      </c>
      <c r="B60" s="50" t="s">
        <v>354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351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346</v>
      </c>
      <c r="C61" s="32" t="s">
        <v>343</v>
      </c>
      <c r="D61" s="21" t="s">
        <v>306</v>
      </c>
      <c r="E61" s="21" t="s">
        <v>37</v>
      </c>
      <c r="F61" s="21" t="s">
        <v>144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522</v>
      </c>
      <c r="C62" s="32"/>
      <c r="D62" s="21" t="s">
        <v>306</v>
      </c>
      <c r="E62" s="21" t="s">
        <v>37</v>
      </c>
      <c r="F62" s="21" t="s">
        <v>529</v>
      </c>
      <c r="G62" s="22" t="s">
        <v>38</v>
      </c>
      <c r="H62" s="21" t="s">
        <v>530</v>
      </c>
      <c r="I62" s="21" t="str">
        <f>IF(L77="NEG","0x01","0x00")</f>
        <v>0x01</v>
      </c>
      <c r="K62" s="37"/>
      <c r="L62" s="37"/>
    </row>
    <row r="63" spans="1:12" s="20" customFormat="1" x14ac:dyDescent="0.25">
      <c r="A63" s="68"/>
      <c r="B63" s="50" t="s">
        <v>527</v>
      </c>
      <c r="C63" s="32"/>
      <c r="D63" s="21" t="s">
        <v>306</v>
      </c>
      <c r="E63" s="21" t="s">
        <v>37</v>
      </c>
      <c r="F63" s="21" t="s">
        <v>529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0xBF</v>
      </c>
      <c r="J68" s="20" t="str">
        <f>DEC2HEX(MOD(K68,256))</f>
        <v>BF</v>
      </c>
      <c r="K68" s="37">
        <f>P70-1</f>
        <v>2239</v>
      </c>
      <c r="L68" s="85" t="s">
        <v>40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0x08</v>
      </c>
      <c r="J69" s="20" t="str">
        <f>DEC2HEX((K68-MOD(K68,256))/256)</f>
        <v>8</v>
      </c>
      <c r="K69" s="37"/>
      <c r="L69" s="71" t="s">
        <v>313</v>
      </c>
      <c r="M69" s="71" t="s">
        <v>314</v>
      </c>
      <c r="N69" s="71" t="s">
        <v>315</v>
      </c>
      <c r="O69" s="71" t="s">
        <v>316</v>
      </c>
      <c r="P69" s="71" t="s">
        <v>317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0x40</v>
      </c>
      <c r="J70" s="20" t="str">
        <f>DEC2HEX(MOD(K70,256))</f>
        <v>40</v>
      </c>
      <c r="K70" s="37">
        <f>P73-1</f>
        <v>1088</v>
      </c>
      <c r="L70" s="72">
        <v>176</v>
      </c>
      <c r="M70" s="72">
        <v>280</v>
      </c>
      <c r="N70" s="72">
        <v>1680</v>
      </c>
      <c r="O70" s="72">
        <f>P70-N70-M70-L70</f>
        <v>104</v>
      </c>
      <c r="P70" s="72">
        <v>2240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0x04</v>
      </c>
      <c r="J71" s="20" t="str">
        <f>DEC2HEX((K70-MOD(K70,256))/256)</f>
        <v>4</v>
      </c>
      <c r="K71" s="37"/>
      <c r="L71" s="85" t="s">
        <v>318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313</v>
      </c>
      <c r="M72" s="71" t="s">
        <v>314</v>
      </c>
      <c r="N72" s="71" t="s">
        <v>315</v>
      </c>
      <c r="O72" s="71" t="s">
        <v>316</v>
      </c>
      <c r="P72" s="71" t="s">
        <v>336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6</v>
      </c>
      <c r="M73" s="72">
        <v>30</v>
      </c>
      <c r="N73" s="72">
        <v>1050</v>
      </c>
      <c r="O73" s="72">
        <f>P73-N73-M73-L73</f>
        <v>3</v>
      </c>
      <c r="P73" s="72">
        <v>1089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0xAF</v>
      </c>
      <c r="J74" s="20" t="str">
        <f>DEC2HEX(MOD(K74,256))</f>
        <v>AF</v>
      </c>
      <c r="K74" s="37">
        <f>L70-1</f>
        <v>175</v>
      </c>
      <c r="L74" s="85" t="s">
        <v>319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60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535</v>
      </c>
      <c r="M76" s="80" t="s">
        <v>536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538</v>
      </c>
      <c r="M77" s="72" t="s">
        <v>540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0x05</v>
      </c>
      <c r="J78" s="20" t="str">
        <f>DEC2HEX(MOD(K78,256))</f>
        <v>5</v>
      </c>
      <c r="K78" s="37">
        <f>L73-1</f>
        <v>5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0xC8</v>
      </c>
      <c r="J80" s="20" t="str">
        <f>DEC2HEX(MOD(K80,256))</f>
        <v>C8</v>
      </c>
      <c r="K80" s="37">
        <f>L70+M70</f>
        <v>456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0x01</v>
      </c>
      <c r="J81" s="20" t="str">
        <f>DEC2HEX((K80-MOD(K80,256))/256)</f>
        <v>1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0x57</v>
      </c>
      <c r="J82" s="20" t="str">
        <f>DEC2HEX(MOD(K82,256))</f>
        <v>57</v>
      </c>
      <c r="K82" s="37">
        <f>L70+M70+N70-1</f>
        <v>2135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0x08</v>
      </c>
      <c r="J83" s="20" t="str">
        <f>DEC2HEX((K82-MOD(K82,256))/256)</f>
        <v>8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0x24</v>
      </c>
      <c r="J84" s="20" t="str">
        <f>DEC2HEX(MOD(K84,256))</f>
        <v>24</v>
      </c>
      <c r="K84" s="37">
        <f>L73+M73</f>
        <v>36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285</v>
      </c>
      <c r="G86" s="22" t="s">
        <v>38</v>
      </c>
      <c r="H86" s="21" t="s">
        <v>33</v>
      </c>
      <c r="I86" s="21" t="str">
        <f t="shared" si="0"/>
        <v>0x3D</v>
      </c>
      <c r="J86" s="20" t="str">
        <f>DEC2HEX(MOD(K86,256))</f>
        <v>3D</v>
      </c>
      <c r="K86" s="37">
        <f>L73+M73+N73-1</f>
        <v>1085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285</v>
      </c>
      <c r="G87" s="24" t="s">
        <v>40</v>
      </c>
      <c r="H87" s="21" t="s">
        <v>33</v>
      </c>
      <c r="I87" s="21" t="str">
        <f t="shared" si="0"/>
        <v>0x04</v>
      </c>
      <c r="J87" s="20" t="str">
        <f>DEC2HEX((K86-MOD(K86,256))/256)</f>
        <v>4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274</v>
      </c>
      <c r="G88" s="22" t="s">
        <v>38</v>
      </c>
      <c r="H88" s="21" t="s">
        <v>33</v>
      </c>
      <c r="I88" s="21" t="str">
        <f t="shared" si="0"/>
        <v>0xC8</v>
      </c>
      <c r="J88" s="20" t="str">
        <f>DEC2HEX(MOD(K88,256))</f>
        <v>C8</v>
      </c>
      <c r="K88" s="37">
        <f>L70+M70</f>
        <v>456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274</v>
      </c>
      <c r="G89" s="24" t="s">
        <v>40</v>
      </c>
      <c r="H89" s="21" t="s">
        <v>33</v>
      </c>
      <c r="I89" s="21" t="str">
        <f t="shared" si="0"/>
        <v>0x01</v>
      </c>
      <c r="J89" s="20" t="str">
        <f>DEC2HEX((K88-MOD(K88,256))/256)</f>
        <v>1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0x57</v>
      </c>
      <c r="J90" s="20" t="str">
        <f>DEC2HEX(MOD(K90,256))</f>
        <v>57</v>
      </c>
      <c r="K90" s="37">
        <f>L70+M70+N70-1</f>
        <v>2135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0x08</v>
      </c>
      <c r="J91" s="20" t="str">
        <f>DEC2HEX((K90-MOD(K90,256))/256)</f>
        <v>8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0x24</v>
      </c>
      <c r="J92" s="20" t="str">
        <f>DEC2HEX(MOD(K92,256))</f>
        <v>24</v>
      </c>
      <c r="K92" s="37">
        <f>L73+M73</f>
        <v>36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289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281</v>
      </c>
      <c r="G94" s="22" t="s">
        <v>38</v>
      </c>
      <c r="H94" s="21" t="s">
        <v>33</v>
      </c>
      <c r="I94" s="21" t="str">
        <f t="shared" si="0"/>
        <v>0x3D</v>
      </c>
      <c r="J94" s="20" t="str">
        <f>DEC2HEX(MOD(K94,256))</f>
        <v>3D</v>
      </c>
      <c r="K94" s="37">
        <f>L73+M73+N73-1</f>
        <v>1085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281</v>
      </c>
      <c r="G95" s="24" t="s">
        <v>40</v>
      </c>
      <c r="H95" s="21" t="s">
        <v>33</v>
      </c>
      <c r="I95" s="21" t="str">
        <f t="shared" si="0"/>
        <v>0x04</v>
      </c>
      <c r="J95" s="20" t="str">
        <f>DEC2HEX((K94-MOD(K94,256))/256)</f>
        <v>4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363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0xAF</v>
      </c>
      <c r="J103" s="20" t="str">
        <f>DEC2HEX(MOD(K103,256))</f>
        <v>AF</v>
      </c>
      <c r="K103" s="37">
        <f>L70-1</f>
        <v>175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0xC8</v>
      </c>
      <c r="J105" s="20" t="str">
        <f>DEC2HEX(MOD(K105,256))</f>
        <v>C8</v>
      </c>
      <c r="K105" s="37">
        <f>L70+M70</f>
        <v>456</v>
      </c>
      <c r="L105" s="37"/>
    </row>
    <row r="106" spans="1:12" s="20" customFormat="1" x14ac:dyDescent="0.25">
      <c r="A106" s="68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0x01</v>
      </c>
      <c r="J106" s="20" t="str">
        <f>DEC2HEX((K105-MOD(K105,256))/256)</f>
        <v>1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0x57</v>
      </c>
      <c r="J107" s="20" t="str">
        <f>DEC2HEX(MOD(K107,256))</f>
        <v>57</v>
      </c>
      <c r="K107" s="37">
        <f>L70+M70+N70-1</f>
        <v>2135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0x08</v>
      </c>
      <c r="J108" s="20" t="str">
        <f>DEC2HEX((K107-MOD(K107,256))/256)</f>
        <v>8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0x24</v>
      </c>
      <c r="J109" s="20" t="str">
        <f>DEC2HEX(MOD(K109,256))</f>
        <v>24</v>
      </c>
      <c r="K109" s="37">
        <f>L73+M73</f>
        <v>36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295</v>
      </c>
      <c r="G111" s="22" t="s">
        <v>38</v>
      </c>
      <c r="H111" s="21" t="s">
        <v>33</v>
      </c>
      <c r="I111" s="21" t="str">
        <f t="shared" si="1"/>
        <v>0x3D</v>
      </c>
      <c r="J111" s="20" t="str">
        <f>DEC2HEX(MOD(K111,256))</f>
        <v>3D</v>
      </c>
      <c r="K111" s="37">
        <f>L73+M73+N73-1</f>
        <v>1085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294</v>
      </c>
      <c r="G112" s="24" t="s">
        <v>40</v>
      </c>
      <c r="H112" s="21" t="s">
        <v>33</v>
      </c>
      <c r="I112" s="21" t="str">
        <f t="shared" si="1"/>
        <v>0x04</v>
      </c>
      <c r="J112" s="20" t="str">
        <f>DEC2HEX((K111-MOD(K111,256))/256)</f>
        <v>4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375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518</v>
      </c>
      <c r="C119" s="32" t="s">
        <v>521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410</v>
      </c>
      <c r="B122" s="50" t="s">
        <v>360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350</v>
      </c>
      <c r="I122" s="21" t="s">
        <v>41</v>
      </c>
      <c r="K122" s="37"/>
      <c r="L122" s="37"/>
    </row>
    <row r="123" spans="1:12" s="20" customFormat="1" x14ac:dyDescent="0.25">
      <c r="A123" s="31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384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386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309</v>
      </c>
      <c r="H124" s="21" t="s">
        <v>33</v>
      </c>
      <c r="I124" s="21" t="s">
        <v>367</v>
      </c>
      <c r="K124" s="37"/>
      <c r="L124" s="37"/>
    </row>
    <row r="125" spans="1:12" s="20" customFormat="1" x14ac:dyDescent="0.25">
      <c r="A125" s="31" t="s">
        <v>184</v>
      </c>
      <c r="B125" s="50" t="s">
        <v>386</v>
      </c>
      <c r="C125" s="32" t="s">
        <v>223</v>
      </c>
      <c r="D125" s="21" t="s">
        <v>305</v>
      </c>
      <c r="E125" s="21" t="s">
        <v>37</v>
      </c>
      <c r="F125" s="21" t="s">
        <v>53</v>
      </c>
      <c r="G125" s="24" t="s">
        <v>309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393</v>
      </c>
      <c r="C126" s="32" t="s">
        <v>223</v>
      </c>
      <c r="D126" s="21" t="s">
        <v>305</v>
      </c>
      <c r="E126" s="21" t="s">
        <v>37</v>
      </c>
      <c r="F126" s="21" t="s">
        <v>396</v>
      </c>
      <c r="G126" s="22" t="s">
        <v>38</v>
      </c>
      <c r="H126" s="21" t="s">
        <v>400</v>
      </c>
      <c r="I126" s="21" t="s">
        <v>402</v>
      </c>
      <c r="K126" s="37"/>
      <c r="L126" s="37"/>
    </row>
    <row r="127" spans="1:12" s="20" customFormat="1" x14ac:dyDescent="0.25">
      <c r="A127" s="31" t="s">
        <v>184</v>
      </c>
      <c r="B127" s="50" t="s">
        <v>393</v>
      </c>
      <c r="C127" s="32" t="s">
        <v>223</v>
      </c>
      <c r="D127" s="21" t="s">
        <v>305</v>
      </c>
      <c r="E127" s="21" t="s">
        <v>37</v>
      </c>
      <c r="F127" s="21" t="s">
        <v>396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39</v>
      </c>
      <c r="K128" s="37"/>
      <c r="L128" s="37"/>
    </row>
    <row r="129" spans="1:12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39</v>
      </c>
      <c r="K129" s="37"/>
      <c r="L129" s="37"/>
    </row>
    <row r="130" spans="1:12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39</v>
      </c>
      <c r="K130" s="37"/>
      <c r="L130" s="37"/>
    </row>
    <row r="131" spans="1:12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39</v>
      </c>
      <c r="K131" s="37"/>
      <c r="L131" s="37"/>
    </row>
    <row r="132" spans="1:12" s="20" customFormat="1" x14ac:dyDescent="0.25">
      <c r="A132" s="31" t="s">
        <v>451</v>
      </c>
      <c r="B132" s="32" t="s">
        <v>452</v>
      </c>
      <c r="C132" s="32"/>
      <c r="D132" s="21" t="s">
        <v>308</v>
      </c>
      <c r="E132" s="21" t="s">
        <v>37</v>
      </c>
      <c r="F132" s="21" t="s">
        <v>454</v>
      </c>
      <c r="G132" s="22" t="s">
        <v>38</v>
      </c>
      <c r="H132" s="21" t="s">
        <v>456</v>
      </c>
      <c r="I132" s="21" t="s">
        <v>458</v>
      </c>
      <c r="K132" s="37"/>
      <c r="L132" s="37"/>
    </row>
    <row r="133" spans="1:12" s="20" customFormat="1" x14ac:dyDescent="0.25">
      <c r="A133" s="31" t="s">
        <v>451</v>
      </c>
      <c r="B133" s="32" t="s">
        <v>459</v>
      </c>
      <c r="C133" s="32"/>
      <c r="D133" s="21" t="s">
        <v>308</v>
      </c>
      <c r="E133" s="21" t="s">
        <v>37</v>
      </c>
      <c r="F133" s="21" t="s">
        <v>454</v>
      </c>
      <c r="G133" s="24" t="s">
        <v>460</v>
      </c>
      <c r="H133" s="21" t="s">
        <v>456</v>
      </c>
      <c r="I133" s="21" t="s">
        <v>461</v>
      </c>
      <c r="K133" s="37"/>
      <c r="L133" s="37"/>
    </row>
    <row r="134" spans="1:12" s="20" customFormat="1" x14ac:dyDescent="0.25">
      <c r="A134" s="31" t="s">
        <v>451</v>
      </c>
      <c r="B134" s="32" t="s">
        <v>462</v>
      </c>
      <c r="C134" s="32"/>
      <c r="D134" s="21" t="s">
        <v>308</v>
      </c>
      <c r="E134" s="21" t="s">
        <v>37</v>
      </c>
      <c r="F134" s="21" t="s">
        <v>458</v>
      </c>
      <c r="G134" s="22" t="s">
        <v>38</v>
      </c>
      <c r="H134" s="21" t="s">
        <v>456</v>
      </c>
      <c r="I134" s="21" t="s">
        <v>454</v>
      </c>
      <c r="K134" s="37"/>
      <c r="L134" s="37"/>
    </row>
    <row r="135" spans="1:12" s="20" customFormat="1" x14ac:dyDescent="0.25">
      <c r="A135" s="31" t="s">
        <v>451</v>
      </c>
      <c r="B135" s="32" t="s">
        <v>464</v>
      </c>
      <c r="C135" s="32"/>
      <c r="D135" s="21" t="s">
        <v>308</v>
      </c>
      <c r="E135" s="21" t="s">
        <v>37</v>
      </c>
      <c r="F135" s="21" t="s">
        <v>458</v>
      </c>
      <c r="G135" s="24" t="s">
        <v>460</v>
      </c>
      <c r="H135" s="21" t="s">
        <v>456</v>
      </c>
      <c r="I135" s="21" t="s">
        <v>458</v>
      </c>
      <c r="K135" s="37"/>
      <c r="L135" s="37"/>
    </row>
    <row r="136" spans="1:12" s="20" customFormat="1" x14ac:dyDescent="0.25">
      <c r="A136" s="31" t="s">
        <v>508</v>
      </c>
      <c r="B136" s="32" t="s">
        <v>504</v>
      </c>
      <c r="C136" s="32"/>
      <c r="D136" s="21" t="s">
        <v>308</v>
      </c>
      <c r="E136" s="21" t="s">
        <v>37</v>
      </c>
      <c r="F136" s="21" t="s">
        <v>509</v>
      </c>
      <c r="G136" s="22" t="s">
        <v>38</v>
      </c>
      <c r="H136" s="21" t="s">
        <v>33</v>
      </c>
      <c r="I136" s="21" t="s">
        <v>510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60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"/>
    <protectedRange password="EBC5" sqref="I39:I41" name="範圍1_3_3_1_1_1_2_1_1_2_1_1"/>
    <protectedRange password="EBC5" sqref="I101:I112 I68:I95" name="範圍1_3_3_1_1_1_2_1_1_2_1_1_1_1"/>
    <protectedRange password="EBC5" sqref="I132:I135" name="範圍1_3_3_1_1_1_2_1_1_2_3"/>
    <protectedRange password="EBC5" sqref="I136" name="範圍1_3_3_1_1_1_2_1_1_2_4"/>
  </protectedRanges>
  <mergeCells count="11">
    <mergeCell ref="L68:P68"/>
    <mergeCell ref="L71:P71"/>
    <mergeCell ref="L74:P74"/>
    <mergeCell ref="L75:P75"/>
    <mergeCell ref="A99:C99"/>
    <mergeCell ref="A1:C1"/>
    <mergeCell ref="A53:C53"/>
    <mergeCell ref="A66:C66"/>
    <mergeCell ref="D141:G141"/>
    <mergeCell ref="A37:C37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1:U142"/>
  <sheetViews>
    <sheetView topLeftCell="A70" zoomScale="115" zoomScaleNormal="115" workbookViewId="0">
      <selection activeCell="A117" sqref="A117:XFD117"/>
    </sheetView>
  </sheetViews>
  <sheetFormatPr defaultRowHeight="16.5" x14ac:dyDescent="0.25"/>
  <cols>
    <col min="1" max="1" width="22.125" customWidth="1"/>
    <col min="2" max="2" width="27.5" style="45" customWidth="1"/>
    <col min="3" max="3" width="24.625" customWidth="1"/>
    <col min="4" max="4" width="17.125" bestFit="1" customWidth="1"/>
    <col min="6" max="8" width="9" style="23"/>
    <col min="9" max="9" width="10.75" style="40" customWidth="1"/>
    <col min="10" max="10" width="5.25" style="37" customWidth="1"/>
    <col min="11" max="11" width="9.375" style="37" bestFit="1" customWidth="1"/>
    <col min="12" max="12" width="8.25" style="37" customWidth="1"/>
    <col min="13" max="13" width="9" style="20"/>
    <col min="14" max="14" width="9.5" style="20" bestFit="1" customWidth="1"/>
    <col min="15" max="21" width="9" style="20"/>
  </cols>
  <sheetData>
    <row r="1" spans="1:12" ht="27" x14ac:dyDescent="0.25">
      <c r="A1" s="82" t="s">
        <v>230</v>
      </c>
      <c r="B1" s="82"/>
      <c r="C1" s="82"/>
      <c r="D1" s="46"/>
      <c r="E1" s="47"/>
      <c r="F1" s="48"/>
      <c r="G1" s="48"/>
      <c r="H1" s="49"/>
      <c r="I1" s="13" t="s">
        <v>28</v>
      </c>
    </row>
    <row r="2" spans="1:12" x14ac:dyDescent="0.25">
      <c r="A2" s="14" t="s">
        <v>10</v>
      </c>
      <c r="B2" s="43" t="s">
        <v>11</v>
      </c>
      <c r="C2" s="15" t="s">
        <v>12</v>
      </c>
      <c r="D2" s="16" t="s">
        <v>13</v>
      </c>
      <c r="E2" s="17" t="s">
        <v>14</v>
      </c>
      <c r="F2" s="16" t="s">
        <v>15</v>
      </c>
      <c r="G2" s="16" t="s">
        <v>16</v>
      </c>
      <c r="H2" s="18" t="s">
        <v>17</v>
      </c>
      <c r="I2" s="19" t="s">
        <v>29</v>
      </c>
    </row>
    <row r="3" spans="1:12" s="20" customFormat="1" x14ac:dyDescent="0.25">
      <c r="A3" s="31" t="s">
        <v>111</v>
      </c>
      <c r="B3" s="32" t="s">
        <v>51</v>
      </c>
      <c r="C3" s="32"/>
      <c r="D3" s="21" t="s">
        <v>308</v>
      </c>
      <c r="E3" s="21" t="s">
        <v>37</v>
      </c>
      <c r="F3" s="21" t="s">
        <v>47</v>
      </c>
      <c r="G3" s="24" t="s">
        <v>40</v>
      </c>
      <c r="H3" s="21" t="s">
        <v>33</v>
      </c>
      <c r="I3" s="21" t="s">
        <v>39</v>
      </c>
      <c r="J3" s="37"/>
      <c r="K3" s="37"/>
      <c r="L3" s="37"/>
    </row>
    <row r="4" spans="1:12" s="20" customFormat="1" x14ac:dyDescent="0.25">
      <c r="A4" s="31" t="s">
        <v>111</v>
      </c>
      <c r="B4" s="32" t="s">
        <v>49</v>
      </c>
      <c r="C4" s="32" t="s">
        <v>52</v>
      </c>
      <c r="D4" s="21" t="s">
        <v>308</v>
      </c>
      <c r="E4" s="21" t="s">
        <v>37</v>
      </c>
      <c r="F4" s="21" t="s">
        <v>54</v>
      </c>
      <c r="G4" s="22" t="s">
        <v>38</v>
      </c>
      <c r="H4" s="21" t="s">
        <v>33</v>
      </c>
      <c r="I4" s="21" t="s">
        <v>55</v>
      </c>
      <c r="K4" s="37"/>
      <c r="L4" s="37"/>
    </row>
    <row r="5" spans="1:12" s="20" customFormat="1" x14ac:dyDescent="0.25">
      <c r="A5" s="31" t="s">
        <v>111</v>
      </c>
      <c r="B5" s="32" t="s">
        <v>56</v>
      </c>
      <c r="C5" s="32"/>
      <c r="D5" s="21" t="s">
        <v>308</v>
      </c>
      <c r="E5" s="21" t="s">
        <v>37</v>
      </c>
      <c r="F5" s="21" t="s">
        <v>57</v>
      </c>
      <c r="G5" s="22" t="s">
        <v>38</v>
      </c>
      <c r="H5" s="21" t="s">
        <v>33</v>
      </c>
      <c r="I5" s="21" t="s">
        <v>39</v>
      </c>
      <c r="K5" s="37"/>
      <c r="L5" s="37"/>
    </row>
    <row r="6" spans="1:12" s="20" customFormat="1" x14ac:dyDescent="0.25">
      <c r="A6" s="31" t="s">
        <v>111</v>
      </c>
      <c r="B6" s="32" t="s">
        <v>58</v>
      </c>
      <c r="C6" s="32"/>
      <c r="D6" s="21" t="s">
        <v>308</v>
      </c>
      <c r="E6" s="21" t="s">
        <v>37</v>
      </c>
      <c r="F6" s="21" t="s">
        <v>57</v>
      </c>
      <c r="G6" s="24" t="s">
        <v>40</v>
      </c>
      <c r="H6" s="21" t="s">
        <v>33</v>
      </c>
      <c r="I6" s="21" t="s">
        <v>39</v>
      </c>
      <c r="K6" s="37"/>
      <c r="L6" s="37"/>
    </row>
    <row r="7" spans="1:12" s="20" customFormat="1" x14ac:dyDescent="0.25">
      <c r="A7" s="31" t="s">
        <v>111</v>
      </c>
      <c r="B7" s="32" t="s">
        <v>59</v>
      </c>
      <c r="C7" s="32"/>
      <c r="D7" s="21" t="s">
        <v>308</v>
      </c>
      <c r="E7" s="21" t="s">
        <v>37</v>
      </c>
      <c r="F7" s="21" t="s">
        <v>61</v>
      </c>
      <c r="G7" s="22" t="s">
        <v>38</v>
      </c>
      <c r="H7" s="21" t="s">
        <v>33</v>
      </c>
      <c r="I7" s="21" t="s">
        <v>39</v>
      </c>
      <c r="K7" s="37"/>
      <c r="L7" s="37"/>
    </row>
    <row r="8" spans="1:12" s="20" customFormat="1" x14ac:dyDescent="0.25">
      <c r="A8" s="31" t="s">
        <v>111</v>
      </c>
      <c r="B8" s="32" t="s">
        <v>60</v>
      </c>
      <c r="C8" s="32"/>
      <c r="D8" s="21" t="s">
        <v>308</v>
      </c>
      <c r="E8" s="21" t="s">
        <v>37</v>
      </c>
      <c r="F8" s="21" t="s">
        <v>61</v>
      </c>
      <c r="G8" s="24" t="s">
        <v>40</v>
      </c>
      <c r="H8" s="21" t="s">
        <v>33</v>
      </c>
      <c r="I8" s="21" t="s">
        <v>39</v>
      </c>
      <c r="K8" s="37"/>
      <c r="L8" s="37"/>
    </row>
    <row r="9" spans="1:12" s="20" customFormat="1" x14ac:dyDescent="0.25">
      <c r="A9" s="31" t="s">
        <v>111</v>
      </c>
      <c r="B9" s="32" t="s">
        <v>62</v>
      </c>
      <c r="C9" s="32"/>
      <c r="D9" s="21" t="s">
        <v>308</v>
      </c>
      <c r="E9" s="21" t="s">
        <v>37</v>
      </c>
      <c r="F9" s="21" t="s">
        <v>70</v>
      </c>
      <c r="G9" s="22" t="s">
        <v>38</v>
      </c>
      <c r="H9" s="21" t="s">
        <v>33</v>
      </c>
      <c r="I9" s="21" t="s">
        <v>71</v>
      </c>
      <c r="K9" s="37"/>
      <c r="L9" s="37"/>
    </row>
    <row r="10" spans="1:12" s="20" customFormat="1" x14ac:dyDescent="0.25">
      <c r="A10" s="31" t="s">
        <v>111</v>
      </c>
      <c r="B10" s="32" t="s">
        <v>63</v>
      </c>
      <c r="C10" s="32"/>
      <c r="D10" s="21" t="s">
        <v>308</v>
      </c>
      <c r="E10" s="21" t="s">
        <v>37</v>
      </c>
      <c r="F10" s="21" t="s">
        <v>70</v>
      </c>
      <c r="G10" s="24" t="s">
        <v>40</v>
      </c>
      <c r="H10" s="21" t="s">
        <v>33</v>
      </c>
      <c r="I10" s="21" t="s">
        <v>71</v>
      </c>
      <c r="K10" s="37"/>
      <c r="L10" s="37"/>
    </row>
    <row r="11" spans="1:12" s="20" customFormat="1" x14ac:dyDescent="0.25">
      <c r="A11" s="31" t="s">
        <v>111</v>
      </c>
      <c r="B11" s="32" t="s">
        <v>64</v>
      </c>
      <c r="C11" s="32"/>
      <c r="D11" s="21" t="s">
        <v>308</v>
      </c>
      <c r="E11" s="21" t="s">
        <v>37</v>
      </c>
      <c r="F11" s="21" t="s">
        <v>72</v>
      </c>
      <c r="G11" s="22" t="s">
        <v>38</v>
      </c>
      <c r="H11" s="21" t="s">
        <v>33</v>
      </c>
      <c r="I11" s="21" t="s">
        <v>71</v>
      </c>
      <c r="K11" s="37"/>
      <c r="L11" s="37"/>
    </row>
    <row r="12" spans="1:12" s="20" customFormat="1" x14ac:dyDescent="0.25">
      <c r="A12" s="31" t="s">
        <v>111</v>
      </c>
      <c r="B12" s="32" t="s">
        <v>65</v>
      </c>
      <c r="C12" s="32"/>
      <c r="D12" s="21" t="s">
        <v>308</v>
      </c>
      <c r="E12" s="21" t="s">
        <v>37</v>
      </c>
      <c r="F12" s="21" t="s">
        <v>72</v>
      </c>
      <c r="G12" s="24" t="s">
        <v>40</v>
      </c>
      <c r="H12" s="21" t="s">
        <v>33</v>
      </c>
      <c r="I12" s="21" t="s">
        <v>71</v>
      </c>
      <c r="K12" s="37"/>
      <c r="L12" s="37"/>
    </row>
    <row r="13" spans="1:12" s="20" customFormat="1" x14ac:dyDescent="0.25">
      <c r="A13" s="31" t="s">
        <v>111</v>
      </c>
      <c r="B13" s="32" t="s">
        <v>66</v>
      </c>
      <c r="C13" s="32"/>
      <c r="D13" s="21" t="s">
        <v>308</v>
      </c>
      <c r="E13" s="21" t="s">
        <v>37</v>
      </c>
      <c r="F13" s="21" t="s">
        <v>73</v>
      </c>
      <c r="G13" s="22" t="s">
        <v>38</v>
      </c>
      <c r="H13" s="21" t="s">
        <v>33</v>
      </c>
      <c r="I13" s="21" t="s">
        <v>39</v>
      </c>
      <c r="K13" s="37"/>
      <c r="L13" s="37"/>
    </row>
    <row r="14" spans="1:12" s="20" customFormat="1" x14ac:dyDescent="0.25">
      <c r="A14" s="31" t="s">
        <v>111</v>
      </c>
      <c r="B14" s="32" t="s">
        <v>67</v>
      </c>
      <c r="C14" s="32"/>
      <c r="D14" s="21" t="s">
        <v>308</v>
      </c>
      <c r="E14" s="21" t="s">
        <v>37</v>
      </c>
      <c r="F14" s="21" t="s">
        <v>73</v>
      </c>
      <c r="G14" s="24" t="s">
        <v>40</v>
      </c>
      <c r="H14" s="21" t="s">
        <v>33</v>
      </c>
      <c r="I14" s="21" t="s">
        <v>39</v>
      </c>
      <c r="K14" s="37"/>
      <c r="L14" s="37"/>
    </row>
    <row r="15" spans="1:12" s="20" customFormat="1" x14ac:dyDescent="0.25">
      <c r="A15" s="31" t="s">
        <v>111</v>
      </c>
      <c r="B15" s="32" t="s">
        <v>68</v>
      </c>
      <c r="C15" s="32"/>
      <c r="D15" s="21" t="s">
        <v>308</v>
      </c>
      <c r="E15" s="21" t="s">
        <v>37</v>
      </c>
      <c r="F15" s="21" t="s">
        <v>75</v>
      </c>
      <c r="G15" s="22" t="s">
        <v>38</v>
      </c>
      <c r="H15" s="21" t="s">
        <v>33</v>
      </c>
      <c r="I15" s="21" t="s">
        <v>39</v>
      </c>
      <c r="K15" s="37"/>
      <c r="L15" s="37"/>
    </row>
    <row r="16" spans="1:12" s="20" customFormat="1" x14ac:dyDescent="0.25">
      <c r="A16" s="31" t="s">
        <v>111</v>
      </c>
      <c r="B16" s="32" t="s">
        <v>69</v>
      </c>
      <c r="C16" s="32"/>
      <c r="D16" s="21" t="s">
        <v>308</v>
      </c>
      <c r="E16" s="21" t="s">
        <v>37</v>
      </c>
      <c r="F16" s="21" t="s">
        <v>75</v>
      </c>
      <c r="G16" s="24" t="s">
        <v>40</v>
      </c>
      <c r="H16" s="21" t="s">
        <v>33</v>
      </c>
      <c r="I16" s="21" t="s">
        <v>39</v>
      </c>
      <c r="K16" s="37"/>
      <c r="L16" s="37"/>
    </row>
    <row r="17" spans="1:12" s="20" customFormat="1" x14ac:dyDescent="0.25">
      <c r="A17" s="31" t="s">
        <v>111</v>
      </c>
      <c r="B17" s="32" t="s">
        <v>77</v>
      </c>
      <c r="C17" s="32" t="s">
        <v>78</v>
      </c>
      <c r="D17" s="21" t="s">
        <v>308</v>
      </c>
      <c r="E17" s="21" t="s">
        <v>37</v>
      </c>
      <c r="F17" s="21" t="s">
        <v>299</v>
      </c>
      <c r="G17" s="22" t="s">
        <v>38</v>
      </c>
      <c r="H17" s="21" t="s">
        <v>33</v>
      </c>
      <c r="I17" s="21" t="s">
        <v>79</v>
      </c>
      <c r="K17" s="37"/>
      <c r="L17" s="37"/>
    </row>
    <row r="18" spans="1:12" s="20" customFormat="1" x14ac:dyDescent="0.25">
      <c r="A18" s="31" t="s">
        <v>111</v>
      </c>
      <c r="B18" s="32" t="s">
        <v>80</v>
      </c>
      <c r="C18" s="32"/>
      <c r="D18" s="21" t="s">
        <v>308</v>
      </c>
      <c r="E18" s="21" t="s">
        <v>37</v>
      </c>
      <c r="F18" s="21" t="s">
        <v>81</v>
      </c>
      <c r="G18" s="22" t="s">
        <v>38</v>
      </c>
      <c r="H18" s="21" t="s">
        <v>33</v>
      </c>
      <c r="I18" s="21" t="s">
        <v>79</v>
      </c>
      <c r="K18" s="37"/>
      <c r="L18" s="37"/>
    </row>
    <row r="19" spans="1:12" s="20" customFormat="1" x14ac:dyDescent="0.25">
      <c r="A19" s="31" t="s">
        <v>111</v>
      </c>
      <c r="B19" s="32" t="s">
        <v>83</v>
      </c>
      <c r="C19" s="32"/>
      <c r="D19" s="21" t="s">
        <v>308</v>
      </c>
      <c r="E19" s="21" t="s">
        <v>37</v>
      </c>
      <c r="F19" s="21" t="s">
        <v>81</v>
      </c>
      <c r="G19" s="24" t="s">
        <v>40</v>
      </c>
      <c r="H19" s="21" t="s">
        <v>33</v>
      </c>
      <c r="I19" s="21" t="s">
        <v>79</v>
      </c>
      <c r="K19" s="37"/>
      <c r="L19" s="37"/>
    </row>
    <row r="20" spans="1:12" s="20" customFormat="1" x14ac:dyDescent="0.25">
      <c r="A20" s="31" t="s">
        <v>111</v>
      </c>
      <c r="B20" s="32" t="s">
        <v>88</v>
      </c>
      <c r="C20" s="32"/>
      <c r="D20" s="21" t="s">
        <v>308</v>
      </c>
      <c r="E20" s="21" t="s">
        <v>37</v>
      </c>
      <c r="F20" s="21" t="s">
        <v>84</v>
      </c>
      <c r="G20" s="22" t="s">
        <v>38</v>
      </c>
      <c r="H20" s="21" t="s">
        <v>33</v>
      </c>
      <c r="I20" s="21" t="s">
        <v>79</v>
      </c>
      <c r="K20" s="37"/>
      <c r="L20" s="37"/>
    </row>
    <row r="21" spans="1:12" s="20" customFormat="1" x14ac:dyDescent="0.25">
      <c r="A21" s="31" t="s">
        <v>111</v>
      </c>
      <c r="B21" s="32" t="s">
        <v>87</v>
      </c>
      <c r="C21" s="32"/>
      <c r="D21" s="21" t="s">
        <v>308</v>
      </c>
      <c r="E21" s="21" t="s">
        <v>37</v>
      </c>
      <c r="F21" s="21" t="s">
        <v>84</v>
      </c>
      <c r="G21" s="24" t="s">
        <v>40</v>
      </c>
      <c r="H21" s="21" t="s">
        <v>33</v>
      </c>
      <c r="I21" s="21" t="s">
        <v>79</v>
      </c>
      <c r="K21" s="37"/>
      <c r="L21" s="37"/>
    </row>
    <row r="22" spans="1:12" s="20" customFormat="1" ht="25.5" x14ac:dyDescent="0.25">
      <c r="A22" s="31" t="s">
        <v>111</v>
      </c>
      <c r="B22" s="50" t="s">
        <v>168</v>
      </c>
      <c r="C22" s="32"/>
      <c r="D22" s="21" t="s">
        <v>308</v>
      </c>
      <c r="E22" s="21" t="s">
        <v>37</v>
      </c>
      <c r="F22" s="21" t="s">
        <v>89</v>
      </c>
      <c r="G22" s="22" t="s">
        <v>38</v>
      </c>
      <c r="H22" s="21" t="s">
        <v>33</v>
      </c>
      <c r="I22" s="21" t="s">
        <v>79</v>
      </c>
      <c r="K22" s="37"/>
      <c r="L22" s="37"/>
    </row>
    <row r="23" spans="1:12" s="20" customFormat="1" x14ac:dyDescent="0.25">
      <c r="A23" s="31" t="s">
        <v>111</v>
      </c>
      <c r="B23" s="32" t="s">
        <v>136</v>
      </c>
      <c r="C23" s="32"/>
      <c r="D23" s="21" t="s">
        <v>308</v>
      </c>
      <c r="E23" s="21" t="s">
        <v>37</v>
      </c>
      <c r="F23" s="21" t="s">
        <v>89</v>
      </c>
      <c r="G23" s="24" t="s">
        <v>40</v>
      </c>
      <c r="H23" s="21" t="s">
        <v>33</v>
      </c>
      <c r="I23" s="21" t="s">
        <v>39</v>
      </c>
      <c r="K23" s="37"/>
      <c r="L23" s="37"/>
    </row>
    <row r="24" spans="1:12" s="20" customFormat="1" x14ac:dyDescent="0.25">
      <c r="A24" s="31" t="s">
        <v>111</v>
      </c>
      <c r="B24" s="32" t="s">
        <v>92</v>
      </c>
      <c r="C24" s="32"/>
      <c r="D24" s="21" t="s">
        <v>308</v>
      </c>
      <c r="E24" s="21" t="s">
        <v>37</v>
      </c>
      <c r="F24" s="21" t="s">
        <v>91</v>
      </c>
      <c r="G24" s="22" t="s">
        <v>38</v>
      </c>
      <c r="H24" s="21" t="s">
        <v>33</v>
      </c>
      <c r="I24" s="21" t="s">
        <v>39</v>
      </c>
      <c r="K24" s="37"/>
      <c r="L24" s="37"/>
    </row>
    <row r="25" spans="1:12" s="20" customFormat="1" x14ac:dyDescent="0.25">
      <c r="A25" s="31" t="s">
        <v>111</v>
      </c>
      <c r="B25" s="32" t="s">
        <v>94</v>
      </c>
      <c r="C25" s="32"/>
      <c r="D25" s="21" t="s">
        <v>308</v>
      </c>
      <c r="E25" s="21" t="s">
        <v>37</v>
      </c>
      <c r="F25" s="21" t="s">
        <v>93</v>
      </c>
      <c r="G25" s="22" t="s">
        <v>38</v>
      </c>
      <c r="H25" s="21" t="s">
        <v>33</v>
      </c>
      <c r="I25" s="21" t="s">
        <v>39</v>
      </c>
      <c r="K25" s="37"/>
      <c r="L25" s="37"/>
    </row>
    <row r="26" spans="1:12" s="20" customFormat="1" ht="25.5" x14ac:dyDescent="0.25">
      <c r="A26" s="31" t="s">
        <v>111</v>
      </c>
      <c r="B26" s="50" t="s">
        <v>167</v>
      </c>
      <c r="C26" s="32"/>
      <c r="D26" s="21" t="s">
        <v>308</v>
      </c>
      <c r="E26" s="21" t="s">
        <v>37</v>
      </c>
      <c r="F26" s="21" t="s">
        <v>95</v>
      </c>
      <c r="G26" s="22" t="s">
        <v>38</v>
      </c>
      <c r="H26" s="21" t="s">
        <v>33</v>
      </c>
      <c r="I26" s="21" t="s">
        <v>39</v>
      </c>
      <c r="K26" s="37"/>
      <c r="L26" s="37"/>
    </row>
    <row r="27" spans="1:12" s="20" customFormat="1" x14ac:dyDescent="0.25">
      <c r="A27" s="31" t="s">
        <v>111</v>
      </c>
      <c r="B27" s="32" t="s">
        <v>97</v>
      </c>
      <c r="C27" s="32"/>
      <c r="D27" s="21" t="s">
        <v>308</v>
      </c>
      <c r="E27" s="21" t="s">
        <v>37</v>
      </c>
      <c r="F27" s="21" t="s">
        <v>96</v>
      </c>
      <c r="G27" s="22" t="s">
        <v>38</v>
      </c>
      <c r="H27" s="21" t="s">
        <v>33</v>
      </c>
      <c r="I27" s="21" t="s">
        <v>91</v>
      </c>
      <c r="K27" s="37"/>
      <c r="L27" s="37"/>
    </row>
    <row r="28" spans="1:12" s="20" customFormat="1" x14ac:dyDescent="0.25">
      <c r="A28" s="31" t="s">
        <v>111</v>
      </c>
      <c r="B28" s="32" t="s">
        <v>98</v>
      </c>
      <c r="C28" s="32"/>
      <c r="D28" s="21" t="s">
        <v>308</v>
      </c>
      <c r="E28" s="21" t="s">
        <v>37</v>
      </c>
      <c r="F28" s="21" t="s">
        <v>96</v>
      </c>
      <c r="G28" s="24" t="s">
        <v>40</v>
      </c>
      <c r="H28" s="21" t="s">
        <v>33</v>
      </c>
      <c r="I28" s="21" t="s">
        <v>101</v>
      </c>
      <c r="K28" s="37"/>
      <c r="L28" s="37"/>
    </row>
    <row r="29" spans="1:12" s="20" customFormat="1" x14ac:dyDescent="0.25">
      <c r="A29" s="31" t="s">
        <v>111</v>
      </c>
      <c r="B29" s="32" t="s">
        <v>102</v>
      </c>
      <c r="C29" s="32"/>
      <c r="D29" s="21" t="s">
        <v>308</v>
      </c>
      <c r="E29" s="21" t="s">
        <v>37</v>
      </c>
      <c r="F29" s="21" t="s">
        <v>269</v>
      </c>
      <c r="G29" s="22" t="s">
        <v>38</v>
      </c>
      <c r="H29" s="21" t="s">
        <v>33</v>
      </c>
      <c r="I29" s="21" t="s">
        <v>70</v>
      </c>
      <c r="K29" s="37"/>
      <c r="L29" s="37"/>
    </row>
    <row r="30" spans="1:12" s="20" customFormat="1" x14ac:dyDescent="0.25">
      <c r="A30" s="31" t="s">
        <v>111</v>
      </c>
      <c r="B30" s="32" t="s">
        <v>103</v>
      </c>
      <c r="C30" s="32"/>
      <c r="D30" s="21" t="s">
        <v>308</v>
      </c>
      <c r="E30" s="21" t="s">
        <v>37</v>
      </c>
      <c r="F30" s="21" t="s">
        <v>270</v>
      </c>
      <c r="G30" s="24" t="s">
        <v>40</v>
      </c>
      <c r="H30" s="21" t="s">
        <v>33</v>
      </c>
      <c r="I30" s="21" t="s">
        <v>104</v>
      </c>
      <c r="K30" s="37"/>
      <c r="L30" s="37"/>
    </row>
    <row r="31" spans="1:12" s="20" customFormat="1" x14ac:dyDescent="0.25">
      <c r="A31" s="31" t="s">
        <v>111</v>
      </c>
      <c r="B31" s="32" t="s">
        <v>105</v>
      </c>
      <c r="C31" s="32" t="s">
        <v>106</v>
      </c>
      <c r="D31" s="21" t="s">
        <v>308</v>
      </c>
      <c r="E31" s="21" t="s">
        <v>37</v>
      </c>
      <c r="F31" s="21" t="s">
        <v>39</v>
      </c>
      <c r="G31" s="22" t="s">
        <v>38</v>
      </c>
      <c r="H31" s="21" t="s">
        <v>33</v>
      </c>
      <c r="I31" s="21" t="s">
        <v>39</v>
      </c>
      <c r="K31" s="37"/>
      <c r="L31" s="37"/>
    </row>
    <row r="32" spans="1:12" s="20" customFormat="1" x14ac:dyDescent="0.25">
      <c r="A32" s="68" t="s">
        <v>112</v>
      </c>
      <c r="B32" s="32" t="s">
        <v>132</v>
      </c>
      <c r="C32" s="32" t="s">
        <v>134</v>
      </c>
      <c r="D32" s="21" t="s">
        <v>308</v>
      </c>
      <c r="E32" s="21" t="s">
        <v>37</v>
      </c>
      <c r="F32" s="21" t="s">
        <v>273</v>
      </c>
      <c r="G32" s="22" t="s">
        <v>38</v>
      </c>
      <c r="H32" s="21" t="s">
        <v>33</v>
      </c>
      <c r="I32" s="21" t="s">
        <v>41</v>
      </c>
      <c r="K32" s="37"/>
      <c r="L32" s="37"/>
    </row>
    <row r="33" spans="1:14" s="20" customFormat="1" x14ac:dyDescent="0.25">
      <c r="A33" s="68" t="s">
        <v>112</v>
      </c>
      <c r="B33" s="32" t="s">
        <v>133</v>
      </c>
      <c r="C33" s="32" t="s">
        <v>134</v>
      </c>
      <c r="D33" s="21" t="s">
        <v>308</v>
      </c>
      <c r="E33" s="21" t="s">
        <v>37</v>
      </c>
      <c r="F33" s="21" t="s">
        <v>275</v>
      </c>
      <c r="G33" s="24" t="s">
        <v>40</v>
      </c>
      <c r="H33" s="21" t="s">
        <v>33</v>
      </c>
      <c r="I33" s="21" t="s">
        <v>125</v>
      </c>
      <c r="K33" s="37"/>
      <c r="L33" s="37"/>
    </row>
    <row r="34" spans="1:14" s="20" customFormat="1" ht="38.25" x14ac:dyDescent="0.25">
      <c r="A34" s="68" t="s">
        <v>112</v>
      </c>
      <c r="B34" s="50" t="s">
        <v>166</v>
      </c>
      <c r="C34" s="32"/>
      <c r="D34" s="21" t="s">
        <v>308</v>
      </c>
      <c r="E34" s="21" t="s">
        <v>37</v>
      </c>
      <c r="F34" s="21" t="s">
        <v>278</v>
      </c>
      <c r="G34" s="22" t="s">
        <v>38</v>
      </c>
      <c r="H34" s="21" t="s">
        <v>33</v>
      </c>
      <c r="I34" s="21" t="s">
        <v>119</v>
      </c>
      <c r="K34" s="37"/>
      <c r="L34" s="37" t="s">
        <v>383</v>
      </c>
      <c r="M34" s="20" t="str">
        <f>IF(I34="0x13","0.5",IF(I34="0x12","1","2"))</f>
        <v>2</v>
      </c>
    </row>
    <row r="35" spans="1:14" s="20" customFormat="1" x14ac:dyDescent="0.25">
      <c r="A35" s="74"/>
      <c r="B35" s="61"/>
      <c r="C35" s="62"/>
      <c r="D35" s="63"/>
      <c r="E35" s="63"/>
      <c r="F35" s="63"/>
      <c r="G35" s="64"/>
      <c r="H35" s="63"/>
      <c r="I35" s="63"/>
      <c r="K35" s="37"/>
      <c r="L35" s="37"/>
    </row>
    <row r="36" spans="1:14" s="20" customFormat="1" x14ac:dyDescent="0.25">
      <c r="A36" s="74"/>
      <c r="B36" s="61"/>
      <c r="C36" s="62"/>
      <c r="D36" s="63"/>
      <c r="E36" s="63"/>
      <c r="F36" s="63"/>
      <c r="G36" s="64"/>
      <c r="H36" s="63"/>
      <c r="I36" s="63"/>
      <c r="K36" s="37"/>
      <c r="L36" s="37"/>
    </row>
    <row r="37" spans="1:14" ht="27" x14ac:dyDescent="0.25">
      <c r="A37" s="82" t="s">
        <v>406</v>
      </c>
      <c r="B37" s="82"/>
      <c r="C37" s="82"/>
      <c r="D37" s="46"/>
      <c r="E37" s="47"/>
      <c r="F37" s="48"/>
      <c r="G37" s="48"/>
      <c r="H37" s="49"/>
      <c r="I37" s="13" t="s">
        <v>28</v>
      </c>
    </row>
    <row r="38" spans="1:14" x14ac:dyDescent="0.25">
      <c r="A38" s="14" t="s">
        <v>10</v>
      </c>
      <c r="B38" s="43" t="s">
        <v>11</v>
      </c>
      <c r="C38" s="15" t="s">
        <v>12</v>
      </c>
      <c r="D38" s="16" t="s">
        <v>13</v>
      </c>
      <c r="E38" s="17" t="s">
        <v>14</v>
      </c>
      <c r="F38" s="16" t="s">
        <v>15</v>
      </c>
      <c r="G38" s="16" t="s">
        <v>16</v>
      </c>
      <c r="H38" s="18" t="s">
        <v>17</v>
      </c>
      <c r="I38" s="19" t="s">
        <v>29</v>
      </c>
    </row>
    <row r="39" spans="1:14" s="20" customFormat="1" x14ac:dyDescent="0.25">
      <c r="A39" s="68" t="s">
        <v>112</v>
      </c>
      <c r="B39" s="32" t="s">
        <v>114</v>
      </c>
      <c r="C39" s="32" t="s">
        <v>113</v>
      </c>
      <c r="D39" s="21" t="s">
        <v>305</v>
      </c>
      <c r="E39" s="21" t="s">
        <v>37</v>
      </c>
      <c r="F39" s="21" t="s">
        <v>117</v>
      </c>
      <c r="G39" s="22" t="s">
        <v>38</v>
      </c>
      <c r="H39" s="21" t="s">
        <v>33</v>
      </c>
      <c r="I39" s="21" t="str">
        <f>"0x"&amp;TEXT(J39,"00")</f>
        <v>0xAA</v>
      </c>
      <c r="J39" s="20" t="str">
        <f>DEC2HEX(MOD(N39,256))</f>
        <v>AA</v>
      </c>
      <c r="K39" s="37" t="str">
        <f>DEC2HEX(N39)</f>
        <v>2AAAAA</v>
      </c>
      <c r="L39" s="78" t="s">
        <v>377</v>
      </c>
      <c r="M39" s="75">
        <f>432*524288/(P70*P73*L75/1000000)</f>
        <v>1398101.3333333333</v>
      </c>
      <c r="N39" s="75">
        <f>(M39*M34)</f>
        <v>2796202.6666666665</v>
      </c>
    </row>
    <row r="40" spans="1:14" s="20" customFormat="1" x14ac:dyDescent="0.25">
      <c r="A40" s="68" t="s">
        <v>112</v>
      </c>
      <c r="B40" s="32" t="s">
        <v>115</v>
      </c>
      <c r="C40" s="32" t="s">
        <v>113</v>
      </c>
      <c r="D40" s="21" t="s">
        <v>305</v>
      </c>
      <c r="E40" s="21" t="s">
        <v>37</v>
      </c>
      <c r="F40" s="21" t="s">
        <v>117</v>
      </c>
      <c r="G40" s="24" t="s">
        <v>40</v>
      </c>
      <c r="H40" s="21" t="s">
        <v>33</v>
      </c>
      <c r="I40" s="21" t="str">
        <f>"0x"&amp;TEXT(J40,"00")</f>
        <v>0xAA</v>
      </c>
      <c r="J40" s="20" t="str">
        <f>DEC2HEX(MOD((N39-MOD(N39,256))/256,256))</f>
        <v>AA</v>
      </c>
      <c r="K40" s="37"/>
      <c r="L40" s="78" t="s">
        <v>378</v>
      </c>
      <c r="M40" s="75">
        <f>16*524288/(P70*P73)</f>
        <v>3.1068918518518518</v>
      </c>
      <c r="N40" s="75"/>
    </row>
    <row r="41" spans="1:14" s="20" customFormat="1" x14ac:dyDescent="0.25">
      <c r="A41" s="68" t="s">
        <v>112</v>
      </c>
      <c r="B41" s="32" t="s">
        <v>116</v>
      </c>
      <c r="C41" s="32" t="s">
        <v>113</v>
      </c>
      <c r="D41" s="21" t="s">
        <v>305</v>
      </c>
      <c r="E41" s="21" t="s">
        <v>37</v>
      </c>
      <c r="F41" s="21" t="s">
        <v>119</v>
      </c>
      <c r="G41" s="22" t="s">
        <v>38</v>
      </c>
      <c r="H41" s="21" t="s">
        <v>33</v>
      </c>
      <c r="I41" s="21" t="str">
        <f>"0x"&amp;TEXT(J41,"00")</f>
        <v>0x2A</v>
      </c>
      <c r="J41" s="20" t="str">
        <f>DEC2HEX((N39-MOD(N39,256))/65536)</f>
        <v>2A</v>
      </c>
      <c r="K41" s="37"/>
      <c r="L41" s="78" t="s">
        <v>381</v>
      </c>
      <c r="M41" s="75">
        <f>IF(M40&gt;16,M40*128, M40*256)</f>
        <v>795.36431407407406</v>
      </c>
      <c r="N41" s="75"/>
    </row>
    <row r="42" spans="1:14" s="20" customFormat="1" x14ac:dyDescent="0.25">
      <c r="A42" s="68" t="s">
        <v>236</v>
      </c>
      <c r="B42" s="50" t="s">
        <v>238</v>
      </c>
      <c r="C42" s="32" t="s">
        <v>237</v>
      </c>
      <c r="D42" s="21" t="s">
        <v>305</v>
      </c>
      <c r="E42" s="21" t="s">
        <v>37</v>
      </c>
      <c r="F42" s="21" t="s">
        <v>285</v>
      </c>
      <c r="G42" s="22" t="s">
        <v>38</v>
      </c>
      <c r="H42" s="21" t="s">
        <v>33</v>
      </c>
      <c r="I42" s="21" t="s">
        <v>444</v>
      </c>
      <c r="K42" s="37" t="str">
        <f>DEC2HEX(M41)</f>
        <v>31B</v>
      </c>
      <c r="L42" s="37"/>
    </row>
    <row r="43" spans="1:14" s="20" customFormat="1" x14ac:dyDescent="0.25">
      <c r="A43" s="68" t="s">
        <v>236</v>
      </c>
      <c r="B43" s="50" t="s">
        <v>239</v>
      </c>
      <c r="C43" s="32"/>
      <c r="D43" s="21" t="s">
        <v>305</v>
      </c>
      <c r="E43" s="21" t="s">
        <v>37</v>
      </c>
      <c r="F43" s="21" t="s">
        <v>285</v>
      </c>
      <c r="G43" s="24" t="s">
        <v>40</v>
      </c>
      <c r="H43" s="21" t="s">
        <v>33</v>
      </c>
      <c r="I43" s="21" t="s">
        <v>131</v>
      </c>
      <c r="K43" s="37"/>
      <c r="L43" s="37"/>
    </row>
    <row r="44" spans="1:14" s="20" customFormat="1" x14ac:dyDescent="0.25">
      <c r="A44" s="68" t="s">
        <v>430</v>
      </c>
      <c r="B44" s="50" t="s">
        <v>435</v>
      </c>
      <c r="C44" s="32"/>
      <c r="D44" s="21" t="s">
        <v>305</v>
      </c>
      <c r="E44" s="21" t="s">
        <v>37</v>
      </c>
      <c r="F44" s="21" t="s">
        <v>431</v>
      </c>
      <c r="G44" s="24" t="s">
        <v>40</v>
      </c>
      <c r="H44" s="21" t="s">
        <v>33</v>
      </c>
      <c r="I44" s="21" t="s">
        <v>433</v>
      </c>
      <c r="K44" s="37"/>
      <c r="L44" s="37"/>
    </row>
    <row r="45" spans="1:14" s="20" customFormat="1" x14ac:dyDescent="0.25">
      <c r="A45" s="68" t="s">
        <v>421</v>
      </c>
      <c r="B45" s="50" t="s">
        <v>422</v>
      </c>
      <c r="C45" s="32"/>
      <c r="D45" s="21" t="s">
        <v>302</v>
      </c>
      <c r="E45" s="21" t="s">
        <v>37</v>
      </c>
      <c r="F45" s="21" t="s">
        <v>413</v>
      </c>
      <c r="G45" s="22" t="s">
        <v>38</v>
      </c>
      <c r="H45" s="21" t="s">
        <v>416</v>
      </c>
      <c r="I45" s="21" t="s">
        <v>428</v>
      </c>
      <c r="K45" s="37"/>
      <c r="L45" s="37"/>
    </row>
    <row r="46" spans="1:14" s="20" customFormat="1" x14ac:dyDescent="0.25">
      <c r="A46" s="68" t="s">
        <v>421</v>
      </c>
      <c r="B46" s="50" t="s">
        <v>419</v>
      </c>
      <c r="C46" s="32"/>
      <c r="D46" s="21" t="s">
        <v>302</v>
      </c>
      <c r="E46" s="21" t="s">
        <v>37</v>
      </c>
      <c r="F46" s="21" t="s">
        <v>413</v>
      </c>
      <c r="G46" s="24" t="s">
        <v>40</v>
      </c>
      <c r="H46" s="21" t="s">
        <v>416</v>
      </c>
      <c r="I46" s="21" t="s">
        <v>425</v>
      </c>
      <c r="K46" s="37"/>
      <c r="L46" s="37"/>
    </row>
    <row r="47" spans="1:14" s="20" customFormat="1" x14ac:dyDescent="0.25">
      <c r="A47" s="68" t="s">
        <v>112</v>
      </c>
      <c r="B47" s="50" t="s">
        <v>172</v>
      </c>
      <c r="C47" s="32" t="s">
        <v>177</v>
      </c>
      <c r="D47" s="21" t="s">
        <v>306</v>
      </c>
      <c r="E47" s="21" t="s">
        <v>37</v>
      </c>
      <c r="F47" s="21" t="s">
        <v>91</v>
      </c>
      <c r="G47" s="22" t="s">
        <v>38</v>
      </c>
      <c r="H47" s="21" t="s">
        <v>33</v>
      </c>
      <c r="I47" s="21" t="s">
        <v>53</v>
      </c>
      <c r="K47" s="37"/>
      <c r="L47" s="37"/>
    </row>
    <row r="48" spans="1:14" s="20" customFormat="1" x14ac:dyDescent="0.25">
      <c r="A48" s="68" t="s">
        <v>112</v>
      </c>
      <c r="B48" s="50" t="s">
        <v>173</v>
      </c>
      <c r="C48" s="32" t="s">
        <v>177</v>
      </c>
      <c r="D48" s="21" t="s">
        <v>306</v>
      </c>
      <c r="E48" s="21" t="s">
        <v>37</v>
      </c>
      <c r="F48" s="21" t="s">
        <v>93</v>
      </c>
      <c r="G48" s="22" t="s">
        <v>38</v>
      </c>
      <c r="H48" s="21" t="s">
        <v>33</v>
      </c>
      <c r="I48" s="21" t="s">
        <v>163</v>
      </c>
      <c r="K48" s="37"/>
      <c r="L48" s="37"/>
    </row>
    <row r="49" spans="1:12" s="20" customFormat="1" x14ac:dyDescent="0.25">
      <c r="A49" s="68" t="s">
        <v>112</v>
      </c>
      <c r="B49" s="50" t="s">
        <v>174</v>
      </c>
      <c r="C49" s="32" t="s">
        <v>177</v>
      </c>
      <c r="D49" s="21" t="s">
        <v>306</v>
      </c>
      <c r="E49" s="21" t="s">
        <v>37</v>
      </c>
      <c r="F49" s="21" t="s">
        <v>95</v>
      </c>
      <c r="G49" s="22" t="s">
        <v>38</v>
      </c>
      <c r="H49" s="21" t="s">
        <v>33</v>
      </c>
      <c r="I49" s="21" t="s">
        <v>39</v>
      </c>
      <c r="K49" s="37"/>
      <c r="L49" s="37"/>
    </row>
    <row r="50" spans="1:12" s="20" customFormat="1" x14ac:dyDescent="0.25">
      <c r="A50" s="68" t="s">
        <v>112</v>
      </c>
      <c r="B50" s="32" t="s">
        <v>176</v>
      </c>
      <c r="C50" s="32" t="s">
        <v>177</v>
      </c>
      <c r="D50" s="21" t="s">
        <v>306</v>
      </c>
      <c r="E50" s="21" t="s">
        <v>37</v>
      </c>
      <c r="F50" s="21" t="s">
        <v>175</v>
      </c>
      <c r="G50" s="22" t="s">
        <v>38</v>
      </c>
      <c r="H50" s="21" t="s">
        <v>33</v>
      </c>
      <c r="I50" s="21" t="s">
        <v>41</v>
      </c>
      <c r="K50" s="37"/>
      <c r="L50" s="37"/>
    </row>
    <row r="51" spans="1:12" s="20" customFormat="1" x14ac:dyDescent="0.25">
      <c r="A51" s="74"/>
      <c r="B51" s="61"/>
      <c r="C51" s="62"/>
      <c r="D51" s="63"/>
      <c r="E51" s="63"/>
      <c r="F51" s="63"/>
      <c r="G51" s="64"/>
      <c r="H51" s="63"/>
      <c r="I51" s="63"/>
      <c r="K51" s="37"/>
      <c r="L51" s="37"/>
    </row>
    <row r="52" spans="1:12" s="20" customFormat="1" x14ac:dyDescent="0.25">
      <c r="A52" s="74"/>
      <c r="B52" s="61"/>
      <c r="C52" s="62"/>
      <c r="D52" s="63"/>
      <c r="E52" s="63"/>
      <c r="F52" s="63"/>
      <c r="G52" s="64"/>
      <c r="H52" s="63"/>
      <c r="I52" s="63"/>
      <c r="K52" s="37"/>
      <c r="L52" s="37"/>
    </row>
    <row r="53" spans="1:12" ht="27" x14ac:dyDescent="0.25">
      <c r="A53" s="82" t="s">
        <v>233</v>
      </c>
      <c r="B53" s="82"/>
      <c r="C53" s="82"/>
      <c r="D53" s="46"/>
      <c r="E53" s="47"/>
      <c r="F53" s="48"/>
      <c r="G53" s="48"/>
      <c r="H53" s="49"/>
      <c r="I53" s="13" t="s">
        <v>28</v>
      </c>
    </row>
    <row r="54" spans="1:12" x14ac:dyDescent="0.25">
      <c r="A54" s="14" t="s">
        <v>10</v>
      </c>
      <c r="B54" s="43" t="s">
        <v>11</v>
      </c>
      <c r="C54" s="15" t="s">
        <v>12</v>
      </c>
      <c r="D54" s="16" t="s">
        <v>13</v>
      </c>
      <c r="E54" s="17" t="s">
        <v>14</v>
      </c>
      <c r="F54" s="16" t="s">
        <v>15</v>
      </c>
      <c r="G54" s="16" t="s">
        <v>16</v>
      </c>
      <c r="H54" s="18" t="s">
        <v>17</v>
      </c>
      <c r="I54" s="19" t="s">
        <v>29</v>
      </c>
    </row>
    <row r="55" spans="1:12" s="20" customFormat="1" x14ac:dyDescent="0.25">
      <c r="A55" s="31" t="s">
        <v>178</v>
      </c>
      <c r="B55" s="50" t="s">
        <v>179</v>
      </c>
      <c r="C55" s="32"/>
      <c r="D55" s="21" t="s">
        <v>306</v>
      </c>
      <c r="E55" s="21" t="s">
        <v>37</v>
      </c>
      <c r="F55" s="21" t="s">
        <v>147</v>
      </c>
      <c r="G55" s="22" t="s">
        <v>38</v>
      </c>
      <c r="H55" s="21" t="s">
        <v>33</v>
      </c>
      <c r="I55" s="21" t="s">
        <v>165</v>
      </c>
      <c r="K55" s="37"/>
      <c r="L55" s="37"/>
    </row>
    <row r="56" spans="1:12" s="20" customFormat="1" x14ac:dyDescent="0.25">
      <c r="A56" s="31" t="s">
        <v>178</v>
      </c>
      <c r="B56" s="50" t="s">
        <v>180</v>
      </c>
      <c r="C56" s="32"/>
      <c r="D56" s="21" t="s">
        <v>306</v>
      </c>
      <c r="E56" s="21" t="s">
        <v>37</v>
      </c>
      <c r="F56" s="21" t="s">
        <v>47</v>
      </c>
      <c r="G56" s="22" t="s">
        <v>38</v>
      </c>
      <c r="H56" s="21" t="s">
        <v>33</v>
      </c>
      <c r="I56" s="21" t="s">
        <v>41</v>
      </c>
      <c r="K56" s="37"/>
      <c r="L56" s="37"/>
    </row>
    <row r="57" spans="1:12" s="20" customFormat="1" x14ac:dyDescent="0.25">
      <c r="A57" s="52" t="s">
        <v>178</v>
      </c>
      <c r="B57" s="53" t="s">
        <v>181</v>
      </c>
      <c r="C57" s="54"/>
      <c r="D57" s="55" t="s">
        <v>306</v>
      </c>
      <c r="E57" s="55" t="s">
        <v>37</v>
      </c>
      <c r="F57" s="55" t="s">
        <v>280</v>
      </c>
      <c r="G57" s="56" t="s">
        <v>38</v>
      </c>
      <c r="H57" s="55" t="s">
        <v>33</v>
      </c>
      <c r="I57" s="55" t="s">
        <v>39</v>
      </c>
      <c r="K57" s="37"/>
      <c r="L57" s="37"/>
    </row>
    <row r="58" spans="1:12" s="20" customFormat="1" x14ac:dyDescent="0.25">
      <c r="A58" s="31" t="s">
        <v>178</v>
      </c>
      <c r="B58" s="50" t="s">
        <v>182</v>
      </c>
      <c r="C58" s="32"/>
      <c r="D58" s="21" t="s">
        <v>306</v>
      </c>
      <c r="E58" s="21" t="s">
        <v>37</v>
      </c>
      <c r="F58" s="21" t="s">
        <v>53</v>
      </c>
      <c r="G58" s="22" t="s">
        <v>38</v>
      </c>
      <c r="H58" s="21" t="s">
        <v>33</v>
      </c>
      <c r="I58" s="21" t="s">
        <v>39</v>
      </c>
      <c r="K58" s="37"/>
      <c r="L58" s="37"/>
    </row>
    <row r="59" spans="1:12" s="20" customFormat="1" x14ac:dyDescent="0.25">
      <c r="A59" s="31" t="s">
        <v>178</v>
      </c>
      <c r="B59" s="50" t="s">
        <v>352</v>
      </c>
      <c r="C59" s="32"/>
      <c r="D59" s="21" t="s">
        <v>306</v>
      </c>
      <c r="E59" s="21" t="s">
        <v>37</v>
      </c>
      <c r="F59" s="21" t="s">
        <v>277</v>
      </c>
      <c r="G59" s="22" t="s">
        <v>38</v>
      </c>
      <c r="H59" s="21" t="s">
        <v>350</v>
      </c>
      <c r="I59" s="21" t="s">
        <v>41</v>
      </c>
      <c r="K59" s="37"/>
      <c r="L59" s="37"/>
    </row>
    <row r="60" spans="1:12" s="20" customFormat="1" x14ac:dyDescent="0.25">
      <c r="A60" s="31" t="s">
        <v>178</v>
      </c>
      <c r="B60" s="50" t="s">
        <v>354</v>
      </c>
      <c r="C60" s="32"/>
      <c r="D60" s="21" t="s">
        <v>306</v>
      </c>
      <c r="E60" s="21" t="s">
        <v>37</v>
      </c>
      <c r="F60" s="21" t="s">
        <v>170</v>
      </c>
      <c r="G60" s="22" t="s">
        <v>38</v>
      </c>
      <c r="H60" s="21" t="s">
        <v>350</v>
      </c>
      <c r="I60" s="21" t="s">
        <v>41</v>
      </c>
      <c r="K60" s="37"/>
      <c r="L60" s="37"/>
    </row>
    <row r="61" spans="1:12" s="20" customFormat="1" x14ac:dyDescent="0.25">
      <c r="A61" s="68"/>
      <c r="B61" s="50" t="s">
        <v>346</v>
      </c>
      <c r="C61" s="32" t="s">
        <v>343</v>
      </c>
      <c r="D61" s="21" t="s">
        <v>306</v>
      </c>
      <c r="E61" s="21" t="s">
        <v>37</v>
      </c>
      <c r="F61" s="21" t="s">
        <v>342</v>
      </c>
      <c r="G61" s="22" t="s">
        <v>38</v>
      </c>
      <c r="H61" s="21" t="s">
        <v>33</v>
      </c>
      <c r="I61" s="21" t="s">
        <v>39</v>
      </c>
      <c r="K61" s="37"/>
      <c r="L61" s="37"/>
    </row>
    <row r="62" spans="1:12" s="20" customFormat="1" x14ac:dyDescent="0.25">
      <c r="A62" s="31" t="s">
        <v>178</v>
      </c>
      <c r="B62" s="50" t="s">
        <v>522</v>
      </c>
      <c r="C62" s="32"/>
      <c r="D62" s="21" t="s">
        <v>306</v>
      </c>
      <c r="E62" s="21" t="s">
        <v>37</v>
      </c>
      <c r="F62" s="21" t="s">
        <v>528</v>
      </c>
      <c r="G62" s="22" t="s">
        <v>38</v>
      </c>
      <c r="H62" s="21" t="s">
        <v>530</v>
      </c>
      <c r="I62" s="21" t="str">
        <f>IF(L77="NEG","0x01","0x00")</f>
        <v>0x00</v>
      </c>
      <c r="K62" s="37"/>
      <c r="L62" s="37"/>
    </row>
    <row r="63" spans="1:12" s="20" customFormat="1" x14ac:dyDescent="0.25">
      <c r="A63" s="68"/>
      <c r="B63" s="50" t="s">
        <v>526</v>
      </c>
      <c r="C63" s="32"/>
      <c r="D63" s="21" t="s">
        <v>306</v>
      </c>
      <c r="E63" s="21" t="s">
        <v>37</v>
      </c>
      <c r="F63" s="21" t="s">
        <v>529</v>
      </c>
      <c r="G63" s="22" t="s">
        <v>38</v>
      </c>
      <c r="H63" s="21" t="s">
        <v>532</v>
      </c>
      <c r="I63" s="21" t="str">
        <f>IF(M77="NEG","0x02","0x00")</f>
        <v>0x00</v>
      </c>
      <c r="K63" s="37"/>
      <c r="L63" s="37"/>
    </row>
    <row r="64" spans="1:12" s="20" customFormat="1" x14ac:dyDescent="0.25">
      <c r="A64" s="74"/>
      <c r="B64" s="61"/>
      <c r="C64" s="62"/>
      <c r="D64" s="63"/>
      <c r="E64" s="63"/>
      <c r="F64" s="63"/>
      <c r="G64" s="64"/>
      <c r="H64" s="63"/>
      <c r="I64" s="63"/>
      <c r="K64" s="37"/>
      <c r="L64" s="37"/>
    </row>
    <row r="65" spans="1:16" s="65" customFormat="1" x14ac:dyDescent="0.25">
      <c r="A65" s="60"/>
      <c r="B65" s="61"/>
      <c r="C65" s="62"/>
      <c r="D65" s="63"/>
      <c r="E65" s="63"/>
      <c r="F65" s="63"/>
      <c r="G65" s="64"/>
      <c r="H65" s="63"/>
      <c r="I65" s="63"/>
      <c r="K65" s="66"/>
      <c r="L65" s="66"/>
    </row>
    <row r="66" spans="1:16" ht="27" x14ac:dyDescent="0.25">
      <c r="A66" s="82" t="s">
        <v>234</v>
      </c>
      <c r="B66" s="82"/>
      <c r="C66" s="82"/>
      <c r="D66" s="46"/>
      <c r="E66" s="47"/>
      <c r="F66" s="48"/>
      <c r="G66" s="48"/>
      <c r="H66" s="49"/>
      <c r="I66" s="13" t="s">
        <v>28</v>
      </c>
    </row>
    <row r="67" spans="1:16" x14ac:dyDescent="0.25">
      <c r="A67" s="14" t="s">
        <v>10</v>
      </c>
      <c r="B67" s="43" t="s">
        <v>11</v>
      </c>
      <c r="C67" s="15" t="s">
        <v>12</v>
      </c>
      <c r="D67" s="16" t="s">
        <v>13</v>
      </c>
      <c r="E67" s="17" t="s">
        <v>14</v>
      </c>
      <c r="F67" s="16" t="s">
        <v>15</v>
      </c>
      <c r="G67" s="16" t="s">
        <v>16</v>
      </c>
      <c r="H67" s="18" t="s">
        <v>17</v>
      </c>
      <c r="I67" s="19" t="s">
        <v>29</v>
      </c>
    </row>
    <row r="68" spans="1:16" s="20" customFormat="1" x14ac:dyDescent="0.25">
      <c r="A68" s="68" t="s">
        <v>184</v>
      </c>
      <c r="B68" s="32" t="s">
        <v>152</v>
      </c>
      <c r="C68" s="32" t="s">
        <v>150</v>
      </c>
      <c r="D68" s="21" t="s">
        <v>302</v>
      </c>
      <c r="E68" s="21" t="s">
        <v>37</v>
      </c>
      <c r="F68" s="21" t="s">
        <v>119</v>
      </c>
      <c r="G68" s="22" t="s">
        <v>38</v>
      </c>
      <c r="H68" s="21" t="s">
        <v>33</v>
      </c>
      <c r="I68" s="21" t="str">
        <f>"0x"&amp;TEXT(J68,"00")</f>
        <v>0x6F</v>
      </c>
      <c r="J68" s="20" t="str">
        <f>DEC2HEX(MOD(K68,256))</f>
        <v>6F</v>
      </c>
      <c r="K68" s="37">
        <f>P70-1</f>
        <v>2159</v>
      </c>
      <c r="L68" s="85" t="s">
        <v>332</v>
      </c>
      <c r="M68" s="85"/>
      <c r="N68" s="85"/>
      <c r="O68" s="85"/>
      <c r="P68" s="85"/>
    </row>
    <row r="69" spans="1:16" s="20" customFormat="1" x14ac:dyDescent="0.25">
      <c r="A69" s="69" t="s">
        <v>184</v>
      </c>
      <c r="B69" s="58" t="s">
        <v>152</v>
      </c>
      <c r="C69" s="58"/>
      <c r="D69" s="59" t="s">
        <v>302</v>
      </c>
      <c r="E69" s="59" t="s">
        <v>37</v>
      </c>
      <c r="F69" s="59" t="s">
        <v>119</v>
      </c>
      <c r="G69" s="67" t="s">
        <v>40</v>
      </c>
      <c r="H69" s="59" t="s">
        <v>33</v>
      </c>
      <c r="I69" s="21" t="str">
        <f t="shared" ref="I69:I95" si="0">"0x"&amp;TEXT(J69,"00")</f>
        <v>0x08</v>
      </c>
      <c r="J69" s="20" t="str">
        <f>DEC2HEX((K68-MOD(K68,256))/256)</f>
        <v>8</v>
      </c>
      <c r="K69" s="37"/>
      <c r="L69" s="71" t="s">
        <v>329</v>
      </c>
      <c r="M69" s="71" t="s">
        <v>314</v>
      </c>
      <c r="N69" s="71" t="s">
        <v>315</v>
      </c>
      <c r="O69" s="71" t="s">
        <v>316</v>
      </c>
      <c r="P69" s="71" t="s">
        <v>317</v>
      </c>
    </row>
    <row r="70" spans="1:16" s="20" customFormat="1" x14ac:dyDescent="0.25">
      <c r="A70" s="68" t="s">
        <v>184</v>
      </c>
      <c r="B70" s="32" t="s">
        <v>153</v>
      </c>
      <c r="C70" s="32" t="s">
        <v>150</v>
      </c>
      <c r="D70" s="21" t="s">
        <v>302</v>
      </c>
      <c r="E70" s="21" t="s">
        <v>37</v>
      </c>
      <c r="F70" s="21" t="s">
        <v>145</v>
      </c>
      <c r="G70" s="22" t="s">
        <v>38</v>
      </c>
      <c r="H70" s="21" t="s">
        <v>33</v>
      </c>
      <c r="I70" s="21" t="str">
        <f t="shared" si="0"/>
        <v>0xE1</v>
      </c>
      <c r="J70" s="20" t="str">
        <f>DEC2HEX(MOD(K70,256))</f>
        <v>E1</v>
      </c>
      <c r="K70" s="37">
        <f>P73-1</f>
        <v>1249</v>
      </c>
      <c r="L70" s="72">
        <v>192</v>
      </c>
      <c r="M70" s="72">
        <v>304</v>
      </c>
      <c r="N70" s="72">
        <v>1600</v>
      </c>
      <c r="O70" s="72">
        <f>P70-N70-M70-L70</f>
        <v>64</v>
      </c>
      <c r="P70" s="72">
        <v>2160</v>
      </c>
    </row>
    <row r="71" spans="1:16" s="20" customFormat="1" x14ac:dyDescent="0.25">
      <c r="A71" s="68" t="s">
        <v>184</v>
      </c>
      <c r="B71" s="32" t="s">
        <v>153</v>
      </c>
      <c r="C71" s="32"/>
      <c r="D71" s="21" t="s">
        <v>302</v>
      </c>
      <c r="E71" s="21" t="s">
        <v>37</v>
      </c>
      <c r="F71" s="21" t="s">
        <v>185</v>
      </c>
      <c r="G71" s="24" t="s">
        <v>40</v>
      </c>
      <c r="H71" s="21" t="s">
        <v>33</v>
      </c>
      <c r="I71" s="21" t="str">
        <f t="shared" si="0"/>
        <v>0x04</v>
      </c>
      <c r="J71" s="20" t="str">
        <f>DEC2HEX((K70-MOD(K70,256))/256)</f>
        <v>4</v>
      </c>
      <c r="K71" s="37"/>
      <c r="L71" s="85" t="s">
        <v>328</v>
      </c>
      <c r="M71" s="85"/>
      <c r="N71" s="85"/>
      <c r="O71" s="85"/>
      <c r="P71" s="85"/>
    </row>
    <row r="72" spans="1:16" s="20" customFormat="1" x14ac:dyDescent="0.25">
      <c r="A72" s="68" t="s">
        <v>184</v>
      </c>
      <c r="B72" s="32" t="s">
        <v>151</v>
      </c>
      <c r="C72" s="32" t="s">
        <v>150</v>
      </c>
      <c r="D72" s="21" t="s">
        <v>302</v>
      </c>
      <c r="E72" s="21" t="s">
        <v>37</v>
      </c>
      <c r="F72" s="21" t="s">
        <v>186</v>
      </c>
      <c r="G72" s="22" t="s">
        <v>38</v>
      </c>
      <c r="H72" s="21" t="s">
        <v>33</v>
      </c>
      <c r="I72" s="21" t="str">
        <f t="shared" si="0"/>
        <v>0x00</v>
      </c>
      <c r="J72" s="20" t="str">
        <f>DEC2HEX(MOD(K72,256))</f>
        <v>0</v>
      </c>
      <c r="K72" s="37">
        <v>0</v>
      </c>
      <c r="L72" s="71" t="s">
        <v>313</v>
      </c>
      <c r="M72" s="71" t="s">
        <v>314</v>
      </c>
      <c r="N72" s="71" t="s">
        <v>334</v>
      </c>
      <c r="O72" s="71" t="s">
        <v>316</v>
      </c>
      <c r="P72" s="71" t="s">
        <v>317</v>
      </c>
    </row>
    <row r="73" spans="1:16" s="20" customFormat="1" x14ac:dyDescent="0.25">
      <c r="A73" s="68" t="s">
        <v>184</v>
      </c>
      <c r="B73" s="32" t="s">
        <v>151</v>
      </c>
      <c r="C73" s="32"/>
      <c r="D73" s="21" t="s">
        <v>302</v>
      </c>
      <c r="E73" s="21" t="s">
        <v>37</v>
      </c>
      <c r="F73" s="21" t="s">
        <v>135</v>
      </c>
      <c r="G73" s="24" t="s">
        <v>40</v>
      </c>
      <c r="H73" s="21" t="s">
        <v>33</v>
      </c>
      <c r="I73" s="21" t="str">
        <f t="shared" si="0"/>
        <v>0x00</v>
      </c>
      <c r="J73" s="20" t="str">
        <f>DEC2HEX((K72-MOD(K72,256))/256)</f>
        <v>0</v>
      </c>
      <c r="K73" s="37"/>
      <c r="L73" s="72">
        <v>3</v>
      </c>
      <c r="M73" s="72">
        <v>46</v>
      </c>
      <c r="N73" s="72">
        <v>1200</v>
      </c>
      <c r="O73" s="72">
        <f>P73-N73-M73-L73</f>
        <v>1</v>
      </c>
      <c r="P73" s="72">
        <v>1250</v>
      </c>
    </row>
    <row r="74" spans="1:16" s="20" customFormat="1" x14ac:dyDescent="0.25">
      <c r="A74" s="68" t="s">
        <v>184</v>
      </c>
      <c r="B74" s="32" t="s">
        <v>154</v>
      </c>
      <c r="C74" s="32" t="s">
        <v>150</v>
      </c>
      <c r="D74" s="21" t="s">
        <v>302</v>
      </c>
      <c r="E74" s="21" t="s">
        <v>37</v>
      </c>
      <c r="F74" s="21" t="s">
        <v>188</v>
      </c>
      <c r="G74" s="22" t="s">
        <v>38</v>
      </c>
      <c r="H74" s="21" t="s">
        <v>33</v>
      </c>
      <c r="I74" s="21" t="str">
        <f t="shared" si="0"/>
        <v>0xBF</v>
      </c>
      <c r="J74" s="20" t="str">
        <f>DEC2HEX(MOD(K74,256))</f>
        <v>BF</v>
      </c>
      <c r="K74" s="37">
        <f>L70-1</f>
        <v>191</v>
      </c>
      <c r="L74" s="85" t="s">
        <v>331</v>
      </c>
      <c r="M74" s="85"/>
      <c r="N74" s="85"/>
      <c r="O74" s="85"/>
      <c r="P74" s="85"/>
    </row>
    <row r="75" spans="1:16" s="20" customFormat="1" x14ac:dyDescent="0.25">
      <c r="A75" s="68" t="s">
        <v>184</v>
      </c>
      <c r="B75" s="32" t="s">
        <v>154</v>
      </c>
      <c r="C75" s="32"/>
      <c r="D75" s="21" t="s">
        <v>302</v>
      </c>
      <c r="E75" s="21" t="s">
        <v>37</v>
      </c>
      <c r="F75" s="21" t="s">
        <v>71</v>
      </c>
      <c r="G75" s="24" t="s">
        <v>40</v>
      </c>
      <c r="H75" s="21" t="s">
        <v>33</v>
      </c>
      <c r="I75" s="21" t="str">
        <f t="shared" si="0"/>
        <v>0x00</v>
      </c>
      <c r="J75" s="20" t="str">
        <f>DEC2HEX((K74-MOD(K74,256))/256)</f>
        <v>0</v>
      </c>
      <c r="K75" s="37"/>
      <c r="L75" s="84">
        <v>60</v>
      </c>
      <c r="M75" s="84"/>
      <c r="N75" s="84"/>
      <c r="O75" s="84"/>
      <c r="P75" s="84"/>
    </row>
    <row r="76" spans="1:16" s="20" customFormat="1" x14ac:dyDescent="0.25">
      <c r="A76" s="68" t="s">
        <v>184</v>
      </c>
      <c r="B76" s="32" t="s">
        <v>155</v>
      </c>
      <c r="C76" s="32" t="s">
        <v>150</v>
      </c>
      <c r="D76" s="21" t="s">
        <v>302</v>
      </c>
      <c r="E76" s="21" t="s">
        <v>37</v>
      </c>
      <c r="F76" s="21" t="s">
        <v>147</v>
      </c>
      <c r="G76" s="22" t="s">
        <v>38</v>
      </c>
      <c r="H76" s="21" t="s">
        <v>33</v>
      </c>
      <c r="I76" s="21" t="str">
        <f t="shared" si="0"/>
        <v>0x00</v>
      </c>
      <c r="J76" s="20" t="str">
        <f>DEC2HEX(MOD(K76,256))</f>
        <v>0</v>
      </c>
      <c r="K76" s="37">
        <v>0</v>
      </c>
      <c r="L76" s="78" t="s">
        <v>535</v>
      </c>
      <c r="M76" s="80" t="s">
        <v>536</v>
      </c>
    </row>
    <row r="77" spans="1:16" s="20" customFormat="1" x14ac:dyDescent="0.25">
      <c r="A77" s="68" t="s">
        <v>184</v>
      </c>
      <c r="B77" s="32" t="s">
        <v>155</v>
      </c>
      <c r="C77" s="32"/>
      <c r="D77" s="21" t="s">
        <v>302</v>
      </c>
      <c r="E77" s="21" t="s">
        <v>37</v>
      </c>
      <c r="F77" s="21" t="s">
        <v>147</v>
      </c>
      <c r="G77" s="24" t="s">
        <v>40</v>
      </c>
      <c r="H77" s="21" t="s">
        <v>33</v>
      </c>
      <c r="I77" s="21" t="str">
        <f t="shared" si="0"/>
        <v>0x00</v>
      </c>
      <c r="J77" s="20" t="str">
        <f>DEC2HEX((K76-MOD(K76,256))/256)</f>
        <v>0</v>
      </c>
      <c r="K77" s="37"/>
      <c r="L77" s="72" t="s">
        <v>540</v>
      </c>
      <c r="M77" s="72" t="s">
        <v>540</v>
      </c>
    </row>
    <row r="78" spans="1:16" s="20" customFormat="1" x14ac:dyDescent="0.25">
      <c r="A78" s="68" t="s">
        <v>184</v>
      </c>
      <c r="B78" s="32" t="s">
        <v>156</v>
      </c>
      <c r="C78" s="32" t="s">
        <v>150</v>
      </c>
      <c r="D78" s="21" t="s">
        <v>302</v>
      </c>
      <c r="E78" s="21" t="s">
        <v>37</v>
      </c>
      <c r="F78" s="21" t="s">
        <v>47</v>
      </c>
      <c r="G78" s="22" t="s">
        <v>38</v>
      </c>
      <c r="H78" s="21" t="s">
        <v>33</v>
      </c>
      <c r="I78" s="21" t="str">
        <f t="shared" si="0"/>
        <v>0x02</v>
      </c>
      <c r="J78" s="20" t="str">
        <f>DEC2HEX(MOD(K78,256))</f>
        <v>2</v>
      </c>
      <c r="K78" s="37">
        <f>L73-1</f>
        <v>2</v>
      </c>
      <c r="L78" s="37"/>
    </row>
    <row r="79" spans="1:16" s="20" customFormat="1" x14ac:dyDescent="0.25">
      <c r="A79" s="68" t="s">
        <v>184</v>
      </c>
      <c r="B79" s="32" t="s">
        <v>156</v>
      </c>
      <c r="C79" s="32"/>
      <c r="D79" s="21" t="s">
        <v>302</v>
      </c>
      <c r="E79" s="21" t="s">
        <v>37</v>
      </c>
      <c r="F79" s="21" t="s">
        <v>47</v>
      </c>
      <c r="G79" s="24" t="s">
        <v>40</v>
      </c>
      <c r="H79" s="21" t="s">
        <v>33</v>
      </c>
      <c r="I79" s="21" t="str">
        <f t="shared" si="0"/>
        <v>0x00</v>
      </c>
      <c r="J79" s="20" t="str">
        <f>DEC2HEX((K78-MOD(K78,256))/256)</f>
        <v>0</v>
      </c>
      <c r="K79" s="37"/>
      <c r="L79" s="37"/>
    </row>
    <row r="80" spans="1:16" s="20" customFormat="1" x14ac:dyDescent="0.25">
      <c r="A80" s="68" t="s">
        <v>184</v>
      </c>
      <c r="B80" s="32" t="s">
        <v>158</v>
      </c>
      <c r="C80" s="32" t="s">
        <v>150</v>
      </c>
      <c r="D80" s="21" t="s">
        <v>302</v>
      </c>
      <c r="E80" s="21" t="s">
        <v>37</v>
      </c>
      <c r="F80" s="21" t="s">
        <v>191</v>
      </c>
      <c r="G80" s="22" t="s">
        <v>38</v>
      </c>
      <c r="H80" s="21" t="s">
        <v>33</v>
      </c>
      <c r="I80" s="21" t="str">
        <f t="shared" si="0"/>
        <v>0xF0</v>
      </c>
      <c r="J80" s="20" t="str">
        <f>DEC2HEX(MOD(K80,256))</f>
        <v>F0</v>
      </c>
      <c r="K80" s="37">
        <f>L70+M70</f>
        <v>496</v>
      </c>
      <c r="L80" s="37"/>
    </row>
    <row r="81" spans="1:12" s="20" customFormat="1" x14ac:dyDescent="0.25">
      <c r="A81" s="68" t="s">
        <v>184</v>
      </c>
      <c r="B81" s="32" t="s">
        <v>158</v>
      </c>
      <c r="C81" s="32"/>
      <c r="D81" s="21" t="s">
        <v>302</v>
      </c>
      <c r="E81" s="21" t="s">
        <v>37</v>
      </c>
      <c r="F81" s="21" t="s">
        <v>192</v>
      </c>
      <c r="G81" s="24" t="s">
        <v>40</v>
      </c>
      <c r="H81" s="21" t="s">
        <v>33</v>
      </c>
      <c r="I81" s="21" t="str">
        <f t="shared" si="0"/>
        <v>0x01</v>
      </c>
      <c r="J81" s="20" t="str">
        <f>DEC2HEX((K80-MOD(K80,256))/256)</f>
        <v>1</v>
      </c>
      <c r="K81" s="37"/>
      <c r="L81" s="37"/>
    </row>
    <row r="82" spans="1:12" s="20" customFormat="1" x14ac:dyDescent="0.25">
      <c r="A82" s="68" t="s">
        <v>184</v>
      </c>
      <c r="B82" s="32" t="s">
        <v>160</v>
      </c>
      <c r="C82" s="32" t="s">
        <v>150</v>
      </c>
      <c r="D82" s="21" t="s">
        <v>302</v>
      </c>
      <c r="E82" s="21" t="s">
        <v>37</v>
      </c>
      <c r="F82" s="21" t="s">
        <v>148</v>
      </c>
      <c r="G82" s="22" t="s">
        <v>38</v>
      </c>
      <c r="H82" s="21" t="s">
        <v>33</v>
      </c>
      <c r="I82" s="21" t="str">
        <f t="shared" si="0"/>
        <v>0x2F</v>
      </c>
      <c r="J82" s="20" t="str">
        <f>DEC2HEX(MOD(K82,256))</f>
        <v>2F</v>
      </c>
      <c r="K82" s="37">
        <f>L70+M70+N70-1</f>
        <v>2095</v>
      </c>
      <c r="L82" s="37"/>
    </row>
    <row r="83" spans="1:12" s="20" customFormat="1" x14ac:dyDescent="0.25">
      <c r="A83" s="68" t="s">
        <v>184</v>
      </c>
      <c r="B83" s="32" t="s">
        <v>160</v>
      </c>
      <c r="C83" s="32"/>
      <c r="D83" s="21" t="s">
        <v>302</v>
      </c>
      <c r="E83" s="21" t="s">
        <v>37</v>
      </c>
      <c r="F83" s="21" t="s">
        <v>148</v>
      </c>
      <c r="G83" s="24" t="s">
        <v>40</v>
      </c>
      <c r="H83" s="21" t="s">
        <v>33</v>
      </c>
      <c r="I83" s="21" t="str">
        <f t="shared" si="0"/>
        <v>0x08</v>
      </c>
      <c r="J83" s="20" t="str">
        <f>DEC2HEX((K82-MOD(K82,256))/256)</f>
        <v>8</v>
      </c>
      <c r="K83" s="37"/>
      <c r="L83" s="37"/>
    </row>
    <row r="84" spans="1:12" s="20" customFormat="1" x14ac:dyDescent="0.25">
      <c r="A84" s="68" t="s">
        <v>184</v>
      </c>
      <c r="B84" s="32" t="s">
        <v>161</v>
      </c>
      <c r="C84" s="32" t="s">
        <v>150</v>
      </c>
      <c r="D84" s="21" t="s">
        <v>302</v>
      </c>
      <c r="E84" s="21" t="s">
        <v>37</v>
      </c>
      <c r="F84" s="21" t="s">
        <v>149</v>
      </c>
      <c r="G84" s="22" t="s">
        <v>38</v>
      </c>
      <c r="H84" s="21" t="s">
        <v>33</v>
      </c>
      <c r="I84" s="21" t="str">
        <f t="shared" si="0"/>
        <v>0x31</v>
      </c>
      <c r="J84" s="20" t="str">
        <f>DEC2HEX(MOD(K84,256))</f>
        <v>31</v>
      </c>
      <c r="K84" s="37">
        <f>L73+M73</f>
        <v>49</v>
      </c>
      <c r="L84" s="37"/>
    </row>
    <row r="85" spans="1:12" s="20" customFormat="1" x14ac:dyDescent="0.25">
      <c r="A85" s="68" t="s">
        <v>184</v>
      </c>
      <c r="B85" s="32" t="s">
        <v>161</v>
      </c>
      <c r="C85" s="32"/>
      <c r="D85" s="21" t="s">
        <v>302</v>
      </c>
      <c r="E85" s="21" t="s">
        <v>37</v>
      </c>
      <c r="F85" s="21" t="s">
        <v>194</v>
      </c>
      <c r="G85" s="24" t="s">
        <v>40</v>
      </c>
      <c r="H85" s="21" t="s">
        <v>33</v>
      </c>
      <c r="I85" s="21" t="str">
        <f t="shared" si="0"/>
        <v>0x00</v>
      </c>
      <c r="J85" s="20" t="str">
        <f>DEC2HEX((K84-MOD(K84,256))/256)</f>
        <v>0</v>
      </c>
      <c r="K85" s="37"/>
      <c r="L85" s="37"/>
    </row>
    <row r="86" spans="1:12" s="20" customFormat="1" x14ac:dyDescent="0.25">
      <c r="A86" s="68" t="s">
        <v>184</v>
      </c>
      <c r="B86" s="32" t="s">
        <v>162</v>
      </c>
      <c r="C86" s="32" t="s">
        <v>150</v>
      </c>
      <c r="D86" s="21" t="s">
        <v>302</v>
      </c>
      <c r="E86" s="21" t="s">
        <v>37</v>
      </c>
      <c r="F86" s="21" t="s">
        <v>284</v>
      </c>
      <c r="G86" s="22" t="s">
        <v>38</v>
      </c>
      <c r="H86" s="21" t="s">
        <v>33</v>
      </c>
      <c r="I86" s="21" t="str">
        <f t="shared" si="0"/>
        <v>0xE0</v>
      </c>
      <c r="J86" s="20" t="str">
        <f>DEC2HEX(MOD(K86,256))</f>
        <v>E0</v>
      </c>
      <c r="K86" s="37">
        <f>L73+M73+N73-1</f>
        <v>1248</v>
      </c>
      <c r="L86" s="37"/>
    </row>
    <row r="87" spans="1:12" s="20" customFormat="1" x14ac:dyDescent="0.25">
      <c r="A87" s="68" t="s">
        <v>184</v>
      </c>
      <c r="B87" s="32" t="s">
        <v>162</v>
      </c>
      <c r="C87" s="32"/>
      <c r="D87" s="21" t="s">
        <v>302</v>
      </c>
      <c r="E87" s="21" t="s">
        <v>37</v>
      </c>
      <c r="F87" s="21" t="s">
        <v>284</v>
      </c>
      <c r="G87" s="24" t="s">
        <v>40</v>
      </c>
      <c r="H87" s="21" t="s">
        <v>33</v>
      </c>
      <c r="I87" s="21" t="str">
        <f t="shared" si="0"/>
        <v>0x04</v>
      </c>
      <c r="J87" s="20" t="str">
        <f>DEC2HEX((K86-MOD(K86,256))/256)</f>
        <v>4</v>
      </c>
      <c r="K87" s="37"/>
      <c r="L87" s="37"/>
    </row>
    <row r="88" spans="1:12" s="20" customFormat="1" x14ac:dyDescent="0.25">
      <c r="A88" s="68" t="s">
        <v>184</v>
      </c>
      <c r="B88" s="50" t="s">
        <v>197</v>
      </c>
      <c r="C88" s="32" t="s">
        <v>150</v>
      </c>
      <c r="D88" s="21" t="s">
        <v>302</v>
      </c>
      <c r="E88" s="21" t="s">
        <v>37</v>
      </c>
      <c r="F88" s="21" t="s">
        <v>274</v>
      </c>
      <c r="G88" s="22" t="s">
        <v>38</v>
      </c>
      <c r="H88" s="21" t="s">
        <v>33</v>
      </c>
      <c r="I88" s="21" t="str">
        <f t="shared" si="0"/>
        <v>0xF0</v>
      </c>
      <c r="J88" s="20" t="str">
        <f>DEC2HEX(MOD(K88,256))</f>
        <v>F0</v>
      </c>
      <c r="K88" s="37">
        <f>L70+M70</f>
        <v>496</v>
      </c>
      <c r="L88" s="37"/>
    </row>
    <row r="89" spans="1:12" s="20" customFormat="1" x14ac:dyDescent="0.25">
      <c r="A89" s="68" t="s">
        <v>184</v>
      </c>
      <c r="B89" s="50" t="s">
        <v>197</v>
      </c>
      <c r="C89" s="32"/>
      <c r="D89" s="21" t="s">
        <v>302</v>
      </c>
      <c r="E89" s="21" t="s">
        <v>37</v>
      </c>
      <c r="F89" s="21" t="s">
        <v>274</v>
      </c>
      <c r="G89" s="24" t="s">
        <v>40</v>
      </c>
      <c r="H89" s="21" t="s">
        <v>33</v>
      </c>
      <c r="I89" s="21" t="str">
        <f t="shared" si="0"/>
        <v>0x01</v>
      </c>
      <c r="J89" s="20" t="str">
        <f>DEC2HEX((K88-MOD(K88,256))/256)</f>
        <v>1</v>
      </c>
      <c r="K89" s="37"/>
      <c r="L89" s="37"/>
    </row>
    <row r="90" spans="1:12" s="20" customFormat="1" x14ac:dyDescent="0.25">
      <c r="A90" s="68" t="s">
        <v>184</v>
      </c>
      <c r="B90" s="50" t="s">
        <v>198</v>
      </c>
      <c r="C90" s="32" t="s">
        <v>150</v>
      </c>
      <c r="D90" s="21" t="s">
        <v>302</v>
      </c>
      <c r="E90" s="21" t="s">
        <v>37</v>
      </c>
      <c r="F90" s="21" t="s">
        <v>277</v>
      </c>
      <c r="G90" s="22" t="s">
        <v>38</v>
      </c>
      <c r="H90" s="21" t="s">
        <v>33</v>
      </c>
      <c r="I90" s="21" t="str">
        <f t="shared" si="0"/>
        <v>0x2F</v>
      </c>
      <c r="J90" s="20" t="str">
        <f>DEC2HEX(MOD(K90,256))</f>
        <v>2F</v>
      </c>
      <c r="K90" s="37">
        <f>L70+M70+N70-1</f>
        <v>2095</v>
      </c>
      <c r="L90" s="37"/>
    </row>
    <row r="91" spans="1:12" s="20" customFormat="1" x14ac:dyDescent="0.25">
      <c r="A91" s="68" t="s">
        <v>184</v>
      </c>
      <c r="B91" s="50" t="s">
        <v>198</v>
      </c>
      <c r="C91" s="32"/>
      <c r="D91" s="21" t="s">
        <v>302</v>
      </c>
      <c r="E91" s="21" t="s">
        <v>37</v>
      </c>
      <c r="F91" s="21" t="s">
        <v>277</v>
      </c>
      <c r="G91" s="24" t="s">
        <v>40</v>
      </c>
      <c r="H91" s="21" t="s">
        <v>33</v>
      </c>
      <c r="I91" s="21" t="str">
        <f t="shared" si="0"/>
        <v>0x08</v>
      </c>
      <c r="J91" s="20" t="str">
        <f>DEC2HEX((K90-MOD(K90,256))/256)</f>
        <v>8</v>
      </c>
      <c r="K91" s="37"/>
      <c r="L91" s="37"/>
    </row>
    <row r="92" spans="1:12" s="20" customFormat="1" x14ac:dyDescent="0.25">
      <c r="A92" s="68" t="s">
        <v>184</v>
      </c>
      <c r="B92" s="50" t="s">
        <v>199</v>
      </c>
      <c r="C92" s="32" t="s">
        <v>150</v>
      </c>
      <c r="D92" s="21" t="s">
        <v>302</v>
      </c>
      <c r="E92" s="21" t="s">
        <v>37</v>
      </c>
      <c r="F92" s="21" t="s">
        <v>287</v>
      </c>
      <c r="G92" s="22" t="s">
        <v>38</v>
      </c>
      <c r="H92" s="21" t="s">
        <v>33</v>
      </c>
      <c r="I92" s="21" t="str">
        <f t="shared" si="0"/>
        <v>0x31</v>
      </c>
      <c r="J92" s="20" t="str">
        <f>DEC2HEX(MOD(K92,256))</f>
        <v>31</v>
      </c>
      <c r="K92" s="37">
        <f>L73+M73</f>
        <v>49</v>
      </c>
      <c r="L92" s="37"/>
    </row>
    <row r="93" spans="1:12" s="20" customFormat="1" x14ac:dyDescent="0.25">
      <c r="A93" s="68" t="s">
        <v>184</v>
      </c>
      <c r="B93" s="50" t="s">
        <v>199</v>
      </c>
      <c r="C93" s="32"/>
      <c r="D93" s="21" t="s">
        <v>302</v>
      </c>
      <c r="E93" s="21" t="s">
        <v>37</v>
      </c>
      <c r="F93" s="21" t="s">
        <v>291</v>
      </c>
      <c r="G93" s="24" t="s">
        <v>40</v>
      </c>
      <c r="H93" s="21" t="s">
        <v>33</v>
      </c>
      <c r="I93" s="21" t="str">
        <f t="shared" si="0"/>
        <v>0x00</v>
      </c>
      <c r="J93" s="20" t="str">
        <f>DEC2HEX((K92-MOD(K92,256))/256)</f>
        <v>0</v>
      </c>
      <c r="K93" s="37"/>
      <c r="L93" s="37"/>
    </row>
    <row r="94" spans="1:12" s="20" customFormat="1" x14ac:dyDescent="0.25">
      <c r="A94" s="68" t="s">
        <v>184</v>
      </c>
      <c r="B94" s="50" t="s">
        <v>201</v>
      </c>
      <c r="C94" s="32" t="s">
        <v>150</v>
      </c>
      <c r="D94" s="21" t="s">
        <v>302</v>
      </c>
      <c r="E94" s="21" t="s">
        <v>37</v>
      </c>
      <c r="F94" s="21" t="s">
        <v>292</v>
      </c>
      <c r="G94" s="22" t="s">
        <v>38</v>
      </c>
      <c r="H94" s="21" t="s">
        <v>33</v>
      </c>
      <c r="I94" s="21" t="str">
        <f t="shared" si="0"/>
        <v>0xE0</v>
      </c>
      <c r="J94" s="20" t="str">
        <f>DEC2HEX(MOD(K94,256))</f>
        <v>E0</v>
      </c>
      <c r="K94" s="37">
        <f>L73+M73+N73-1</f>
        <v>1248</v>
      </c>
      <c r="L94" s="37"/>
    </row>
    <row r="95" spans="1:12" s="20" customFormat="1" x14ac:dyDescent="0.25">
      <c r="A95" s="68" t="s">
        <v>184</v>
      </c>
      <c r="B95" s="50" t="s">
        <v>201</v>
      </c>
      <c r="C95" s="32"/>
      <c r="D95" s="21" t="s">
        <v>302</v>
      </c>
      <c r="E95" s="21" t="s">
        <v>37</v>
      </c>
      <c r="F95" s="21" t="s">
        <v>292</v>
      </c>
      <c r="G95" s="24" t="s">
        <v>40</v>
      </c>
      <c r="H95" s="21" t="s">
        <v>33</v>
      </c>
      <c r="I95" s="21" t="str">
        <f t="shared" si="0"/>
        <v>0x04</v>
      </c>
      <c r="J95" s="20" t="str">
        <f>DEC2HEX((K94-MOD(K94,256))/256)</f>
        <v>4</v>
      </c>
      <c r="K95" s="37"/>
      <c r="L95" s="37"/>
    </row>
    <row r="96" spans="1:12" s="20" customFormat="1" x14ac:dyDescent="0.25">
      <c r="A96" s="31" t="s">
        <v>184</v>
      </c>
      <c r="B96" s="50" t="s">
        <v>221</v>
      </c>
      <c r="C96" s="32"/>
      <c r="D96" s="21" t="s">
        <v>305</v>
      </c>
      <c r="E96" s="21" t="s">
        <v>37</v>
      </c>
      <c r="F96" s="21" t="s">
        <v>165</v>
      </c>
      <c r="G96" s="22" t="s">
        <v>38</v>
      </c>
      <c r="H96" s="21" t="s">
        <v>33</v>
      </c>
      <c r="I96" s="21" t="s">
        <v>127</v>
      </c>
      <c r="K96" s="37"/>
      <c r="L96" s="37"/>
    </row>
    <row r="97" spans="1:12" s="20" customFormat="1" x14ac:dyDescent="0.25">
      <c r="A97" s="60"/>
      <c r="B97" s="61"/>
      <c r="C97" s="62"/>
      <c r="D97" s="63"/>
      <c r="E97" s="63"/>
      <c r="F97" s="63"/>
      <c r="G97" s="64"/>
      <c r="H97" s="63"/>
      <c r="I97" s="63"/>
      <c r="K97" s="37"/>
      <c r="L97" s="37"/>
    </row>
    <row r="98" spans="1:12" s="20" customFormat="1" x14ac:dyDescent="0.25">
      <c r="A98" s="60"/>
      <c r="B98" s="61"/>
      <c r="C98" s="62"/>
      <c r="D98" s="63"/>
      <c r="E98" s="63"/>
      <c r="F98" s="63"/>
      <c r="G98" s="64"/>
      <c r="H98" s="63"/>
      <c r="I98" s="63"/>
      <c r="K98" s="37"/>
      <c r="L98" s="37"/>
    </row>
    <row r="99" spans="1:12" s="20" customFormat="1" ht="27" x14ac:dyDescent="0.25">
      <c r="A99" s="82" t="s">
        <v>364</v>
      </c>
      <c r="B99" s="82"/>
      <c r="C99" s="82"/>
      <c r="D99" s="46"/>
      <c r="E99" s="47"/>
      <c r="F99" s="48"/>
      <c r="G99" s="48"/>
      <c r="H99" s="49"/>
      <c r="I99" s="13" t="s">
        <v>28</v>
      </c>
      <c r="K99" s="37"/>
      <c r="L99" s="37"/>
    </row>
    <row r="100" spans="1:12" s="20" customFormat="1" x14ac:dyDescent="0.25">
      <c r="A100" s="14" t="s">
        <v>10</v>
      </c>
      <c r="B100" s="43" t="s">
        <v>11</v>
      </c>
      <c r="C100" s="15" t="s">
        <v>12</v>
      </c>
      <c r="D100" s="16" t="s">
        <v>13</v>
      </c>
      <c r="E100" s="17" t="s">
        <v>14</v>
      </c>
      <c r="F100" s="16" t="s">
        <v>15</v>
      </c>
      <c r="G100" s="16" t="s">
        <v>16</v>
      </c>
      <c r="H100" s="18" t="s">
        <v>17</v>
      </c>
      <c r="I100" s="19" t="s">
        <v>29</v>
      </c>
      <c r="K100" s="37"/>
      <c r="L100" s="37"/>
    </row>
    <row r="101" spans="1:12" s="20" customFormat="1" x14ac:dyDescent="0.25">
      <c r="A101" s="68" t="s">
        <v>184</v>
      </c>
      <c r="B101" s="32" t="s">
        <v>203</v>
      </c>
      <c r="C101" s="32" t="s">
        <v>150</v>
      </c>
      <c r="D101" s="21" t="s">
        <v>302</v>
      </c>
      <c r="E101" s="21" t="s">
        <v>37</v>
      </c>
      <c r="F101" s="21" t="s">
        <v>72</v>
      </c>
      <c r="G101" s="22" t="s">
        <v>38</v>
      </c>
      <c r="H101" s="21" t="s">
        <v>33</v>
      </c>
      <c r="I101" s="21" t="str">
        <f t="shared" ref="I101:I112" si="1">"0x"&amp;TEXT(J101,"00")</f>
        <v>0x00</v>
      </c>
      <c r="J101" s="20" t="str">
        <f>DEC2HEX(MOD(K101,256))</f>
        <v>0</v>
      </c>
      <c r="K101" s="37">
        <v>0</v>
      </c>
      <c r="L101" s="37"/>
    </row>
    <row r="102" spans="1:12" s="20" customFormat="1" x14ac:dyDescent="0.25">
      <c r="A102" s="68" t="s">
        <v>184</v>
      </c>
      <c r="B102" s="32" t="s">
        <v>204</v>
      </c>
      <c r="C102" s="32"/>
      <c r="D102" s="21" t="s">
        <v>302</v>
      </c>
      <c r="E102" s="21" t="s">
        <v>37</v>
      </c>
      <c r="F102" s="21" t="s">
        <v>72</v>
      </c>
      <c r="G102" s="24" t="s">
        <v>40</v>
      </c>
      <c r="H102" s="21" t="s">
        <v>33</v>
      </c>
      <c r="I102" s="21" t="str">
        <f t="shared" si="1"/>
        <v>0x00</v>
      </c>
      <c r="J102" s="20" t="str">
        <f>DEC2HEX((K101-MOD(K101,256))/256)</f>
        <v>0</v>
      </c>
      <c r="K102" s="37"/>
      <c r="L102" s="37"/>
    </row>
    <row r="103" spans="1:12" s="20" customFormat="1" x14ac:dyDescent="0.25">
      <c r="A103" s="68" t="s">
        <v>184</v>
      </c>
      <c r="B103" s="32" t="s">
        <v>205</v>
      </c>
      <c r="C103" s="32" t="s">
        <v>150</v>
      </c>
      <c r="D103" s="21" t="s">
        <v>302</v>
      </c>
      <c r="E103" s="21" t="s">
        <v>37</v>
      </c>
      <c r="F103" s="21" t="s">
        <v>73</v>
      </c>
      <c r="G103" s="22" t="s">
        <v>38</v>
      </c>
      <c r="H103" s="21" t="s">
        <v>33</v>
      </c>
      <c r="I103" s="21" t="str">
        <f t="shared" si="1"/>
        <v>0xBF</v>
      </c>
      <c r="J103" s="20" t="str">
        <f>DEC2HEX(MOD(K103,256))</f>
        <v>BF</v>
      </c>
      <c r="K103" s="37">
        <f>L70-1</f>
        <v>191</v>
      </c>
      <c r="L103" s="37"/>
    </row>
    <row r="104" spans="1:12" s="20" customFormat="1" x14ac:dyDescent="0.25">
      <c r="A104" s="68" t="s">
        <v>184</v>
      </c>
      <c r="B104" s="32" t="s">
        <v>205</v>
      </c>
      <c r="C104" s="32"/>
      <c r="D104" s="21" t="s">
        <v>302</v>
      </c>
      <c r="E104" s="21" t="s">
        <v>37</v>
      </c>
      <c r="F104" s="21" t="s">
        <v>73</v>
      </c>
      <c r="G104" s="24" t="s">
        <v>40</v>
      </c>
      <c r="H104" s="21" t="s">
        <v>33</v>
      </c>
      <c r="I104" s="21" t="str">
        <f t="shared" si="1"/>
        <v>0x00</v>
      </c>
      <c r="J104" s="20" t="str">
        <f>DEC2HEX((K103-MOD(K103,256))/256)</f>
        <v>0</v>
      </c>
      <c r="K104" s="37"/>
      <c r="L104" s="37"/>
    </row>
    <row r="105" spans="1:12" s="20" customFormat="1" x14ac:dyDescent="0.25">
      <c r="A105" s="68" t="s">
        <v>184</v>
      </c>
      <c r="B105" s="32" t="s">
        <v>210</v>
      </c>
      <c r="C105" s="32" t="s">
        <v>150</v>
      </c>
      <c r="D105" s="21" t="s">
        <v>302</v>
      </c>
      <c r="E105" s="21" t="s">
        <v>37</v>
      </c>
      <c r="F105" s="21" t="s">
        <v>217</v>
      </c>
      <c r="G105" s="22" t="s">
        <v>38</v>
      </c>
      <c r="H105" s="21" t="s">
        <v>33</v>
      </c>
      <c r="I105" s="21" t="str">
        <f t="shared" si="1"/>
        <v>0xF0</v>
      </c>
      <c r="J105" s="20" t="str">
        <f>DEC2HEX(MOD(K105,256))</f>
        <v>F0</v>
      </c>
      <c r="K105" s="37">
        <f>L70+M70</f>
        <v>496</v>
      </c>
      <c r="L105" s="37"/>
    </row>
    <row r="106" spans="1:12" s="20" customFormat="1" x14ac:dyDescent="0.25">
      <c r="A106" s="68" t="s">
        <v>184</v>
      </c>
      <c r="B106" s="32" t="s">
        <v>211</v>
      </c>
      <c r="C106" s="32"/>
      <c r="D106" s="21" t="s">
        <v>302</v>
      </c>
      <c r="E106" s="21" t="s">
        <v>37</v>
      </c>
      <c r="F106" s="21" t="s">
        <v>217</v>
      </c>
      <c r="G106" s="24" t="s">
        <v>40</v>
      </c>
      <c r="H106" s="21" t="s">
        <v>33</v>
      </c>
      <c r="I106" s="21" t="str">
        <f t="shared" si="1"/>
        <v>0x01</v>
      </c>
      <c r="J106" s="20" t="str">
        <f>DEC2HEX((K105-MOD(K105,256))/256)</f>
        <v>1</v>
      </c>
      <c r="K106" s="37"/>
      <c r="L106" s="37"/>
    </row>
    <row r="107" spans="1:12" s="20" customFormat="1" x14ac:dyDescent="0.25">
      <c r="A107" s="68" t="s">
        <v>184</v>
      </c>
      <c r="B107" s="32" t="s">
        <v>212</v>
      </c>
      <c r="C107" s="32" t="s">
        <v>150</v>
      </c>
      <c r="D107" s="21" t="s">
        <v>302</v>
      </c>
      <c r="E107" s="21" t="s">
        <v>37</v>
      </c>
      <c r="F107" s="21" t="s">
        <v>219</v>
      </c>
      <c r="G107" s="22" t="s">
        <v>38</v>
      </c>
      <c r="H107" s="21" t="s">
        <v>33</v>
      </c>
      <c r="I107" s="21" t="str">
        <f t="shared" si="1"/>
        <v>0x2F</v>
      </c>
      <c r="J107" s="20" t="str">
        <f>DEC2HEX(MOD(K107,256))</f>
        <v>2F</v>
      </c>
      <c r="K107" s="37">
        <f>L70+M70+N70-1</f>
        <v>2095</v>
      </c>
      <c r="L107" s="37"/>
    </row>
    <row r="108" spans="1:12" s="20" customFormat="1" x14ac:dyDescent="0.25">
      <c r="A108" s="68" t="s">
        <v>184</v>
      </c>
      <c r="B108" s="32" t="s">
        <v>212</v>
      </c>
      <c r="C108" s="32"/>
      <c r="D108" s="21" t="s">
        <v>302</v>
      </c>
      <c r="E108" s="21" t="s">
        <v>37</v>
      </c>
      <c r="F108" s="21" t="s">
        <v>219</v>
      </c>
      <c r="G108" s="24" t="s">
        <v>40</v>
      </c>
      <c r="H108" s="21" t="s">
        <v>33</v>
      </c>
      <c r="I108" s="21" t="str">
        <f t="shared" si="1"/>
        <v>0x08</v>
      </c>
      <c r="J108" s="20" t="str">
        <f>DEC2HEX((K107-MOD(K107,256))/256)</f>
        <v>8</v>
      </c>
      <c r="K108" s="37"/>
      <c r="L108" s="37"/>
    </row>
    <row r="109" spans="1:12" s="20" customFormat="1" x14ac:dyDescent="0.25">
      <c r="A109" s="68" t="s">
        <v>184</v>
      </c>
      <c r="B109" s="32" t="s">
        <v>214</v>
      </c>
      <c r="C109" s="32" t="s">
        <v>150</v>
      </c>
      <c r="D109" s="21" t="s">
        <v>302</v>
      </c>
      <c r="E109" s="21" t="s">
        <v>37</v>
      </c>
      <c r="F109" s="21" t="s">
        <v>170</v>
      </c>
      <c r="G109" s="22" t="s">
        <v>38</v>
      </c>
      <c r="H109" s="21" t="s">
        <v>33</v>
      </c>
      <c r="I109" s="21" t="str">
        <f t="shared" si="1"/>
        <v>0x31</v>
      </c>
      <c r="J109" s="20" t="str">
        <f>DEC2HEX(MOD(K109,256))</f>
        <v>31</v>
      </c>
      <c r="K109" s="37">
        <f>L73+M73</f>
        <v>49</v>
      </c>
      <c r="L109" s="37"/>
    </row>
    <row r="110" spans="1:12" s="20" customFormat="1" x14ac:dyDescent="0.25">
      <c r="A110" s="68" t="s">
        <v>184</v>
      </c>
      <c r="B110" s="32" t="s">
        <v>214</v>
      </c>
      <c r="C110" s="32"/>
      <c r="D110" s="21" t="s">
        <v>302</v>
      </c>
      <c r="E110" s="21" t="s">
        <v>37</v>
      </c>
      <c r="F110" s="21" t="s">
        <v>170</v>
      </c>
      <c r="G110" s="24" t="s">
        <v>40</v>
      </c>
      <c r="H110" s="21" t="s">
        <v>33</v>
      </c>
      <c r="I110" s="21" t="str">
        <f t="shared" si="1"/>
        <v>0x00</v>
      </c>
      <c r="J110" s="20" t="str">
        <f>DEC2HEX((K109-MOD(K109,256))/256)</f>
        <v>0</v>
      </c>
      <c r="K110" s="37"/>
      <c r="L110" s="37"/>
    </row>
    <row r="111" spans="1:12" s="20" customFormat="1" x14ac:dyDescent="0.25">
      <c r="A111" s="68" t="s">
        <v>184</v>
      </c>
      <c r="B111" s="32" t="s">
        <v>215</v>
      </c>
      <c r="C111" s="32" t="s">
        <v>150</v>
      </c>
      <c r="D111" s="21" t="s">
        <v>302</v>
      </c>
      <c r="E111" s="21" t="s">
        <v>37</v>
      </c>
      <c r="F111" s="21" t="s">
        <v>294</v>
      </c>
      <c r="G111" s="22" t="s">
        <v>38</v>
      </c>
      <c r="H111" s="21" t="s">
        <v>33</v>
      </c>
      <c r="I111" s="21" t="str">
        <f t="shared" si="1"/>
        <v>0xE0</v>
      </c>
      <c r="J111" s="20" t="str">
        <f>DEC2HEX(MOD(K111,256))</f>
        <v>E0</v>
      </c>
      <c r="K111" s="37">
        <f>L73+M73+N73-1</f>
        <v>1248</v>
      </c>
      <c r="L111" s="37"/>
    </row>
    <row r="112" spans="1:12" s="20" customFormat="1" x14ac:dyDescent="0.25">
      <c r="A112" s="68" t="s">
        <v>184</v>
      </c>
      <c r="B112" s="32" t="s">
        <v>215</v>
      </c>
      <c r="C112" s="32"/>
      <c r="D112" s="21" t="s">
        <v>302</v>
      </c>
      <c r="E112" s="21" t="s">
        <v>37</v>
      </c>
      <c r="F112" s="21" t="s">
        <v>294</v>
      </c>
      <c r="G112" s="24" t="s">
        <v>40</v>
      </c>
      <c r="H112" s="21" t="s">
        <v>33</v>
      </c>
      <c r="I112" s="21" t="str">
        <f t="shared" si="1"/>
        <v>0x04</v>
      </c>
      <c r="J112" s="20" t="str">
        <f>DEC2HEX((K111-MOD(K111,256))/256)</f>
        <v>4</v>
      </c>
      <c r="K112" s="37"/>
      <c r="L112" s="37"/>
    </row>
    <row r="113" spans="1:12" s="20" customFormat="1" x14ac:dyDescent="0.25">
      <c r="A113" s="60"/>
      <c r="B113" s="61"/>
      <c r="C113" s="62"/>
      <c r="D113" s="63"/>
      <c r="E113" s="63"/>
      <c r="F113" s="63"/>
      <c r="G113" s="64"/>
      <c r="H113" s="63"/>
      <c r="I113" s="63"/>
      <c r="K113" s="37"/>
      <c r="L113" s="37"/>
    </row>
    <row r="114" spans="1:12" s="20" customFormat="1" x14ac:dyDescent="0.25">
      <c r="A114" s="60"/>
      <c r="B114" s="61"/>
      <c r="C114" s="62"/>
      <c r="D114" s="63"/>
      <c r="E114" s="63"/>
      <c r="F114" s="63"/>
      <c r="G114" s="64"/>
      <c r="H114" s="63"/>
      <c r="I114" s="63"/>
      <c r="K114" s="37"/>
      <c r="L114" s="37"/>
    </row>
    <row r="115" spans="1:12" ht="27" x14ac:dyDescent="0.25">
      <c r="A115" s="82" t="s">
        <v>374</v>
      </c>
      <c r="B115" s="82"/>
      <c r="C115" s="82"/>
      <c r="D115" s="46"/>
      <c r="E115" s="47"/>
      <c r="F115" s="48"/>
      <c r="G115" s="48"/>
      <c r="H115" s="49"/>
      <c r="I115" s="13" t="s">
        <v>28</v>
      </c>
    </row>
    <row r="116" spans="1:12" x14ac:dyDescent="0.25">
      <c r="A116" s="14" t="s">
        <v>10</v>
      </c>
      <c r="B116" s="43" t="s">
        <v>11</v>
      </c>
      <c r="C116" s="15" t="s">
        <v>12</v>
      </c>
      <c r="D116" s="16" t="s">
        <v>13</v>
      </c>
      <c r="E116" s="17" t="s">
        <v>14</v>
      </c>
      <c r="F116" s="16" t="s">
        <v>15</v>
      </c>
      <c r="G116" s="16" t="s">
        <v>16</v>
      </c>
      <c r="H116" s="18" t="s">
        <v>17</v>
      </c>
      <c r="I116" s="19" t="s">
        <v>29</v>
      </c>
    </row>
    <row r="117" spans="1:12" s="20" customFormat="1" x14ac:dyDescent="0.25">
      <c r="A117" s="31" t="s">
        <v>111</v>
      </c>
      <c r="B117" s="32" t="s">
        <v>50</v>
      </c>
      <c r="C117" s="32"/>
      <c r="D117" s="21" t="s">
        <v>308</v>
      </c>
      <c r="E117" s="21" t="s">
        <v>37</v>
      </c>
      <c r="F117" s="21" t="s">
        <v>47</v>
      </c>
      <c r="G117" s="22" t="s">
        <v>38</v>
      </c>
      <c r="H117" s="21" t="s">
        <v>33</v>
      </c>
      <c r="I117" s="21" t="s">
        <v>48</v>
      </c>
      <c r="J117" s="37"/>
      <c r="K117" s="37"/>
      <c r="L117" s="37"/>
    </row>
    <row r="118" spans="1:12" s="20" customFormat="1" x14ac:dyDescent="0.25">
      <c r="A118" s="31" t="s">
        <v>137</v>
      </c>
      <c r="B118" s="32" t="s">
        <v>108</v>
      </c>
      <c r="C118" s="32" t="s">
        <v>109</v>
      </c>
      <c r="D118" s="21" t="s">
        <v>303</v>
      </c>
      <c r="E118" s="21" t="s">
        <v>37</v>
      </c>
      <c r="F118" s="21" t="s">
        <v>110</v>
      </c>
      <c r="G118" s="22" t="s">
        <v>38</v>
      </c>
      <c r="H118" s="21" t="s">
        <v>33</v>
      </c>
      <c r="I118" s="21" t="s">
        <v>39</v>
      </c>
      <c r="K118" s="37"/>
      <c r="L118" s="37"/>
    </row>
    <row r="119" spans="1:12" s="20" customFormat="1" x14ac:dyDescent="0.25">
      <c r="A119" s="31" t="s">
        <v>137</v>
      </c>
      <c r="B119" s="32" t="s">
        <v>518</v>
      </c>
      <c r="C119" s="32" t="s">
        <v>520</v>
      </c>
      <c r="D119" s="21" t="s">
        <v>303</v>
      </c>
      <c r="E119" s="21" t="s">
        <v>37</v>
      </c>
      <c r="F119" s="21" t="s">
        <v>110</v>
      </c>
      <c r="G119" s="24" t="s">
        <v>40</v>
      </c>
      <c r="H119" s="21" t="s">
        <v>33</v>
      </c>
      <c r="I119" s="21" t="s">
        <v>39</v>
      </c>
      <c r="K119" s="37"/>
      <c r="L119" s="37"/>
    </row>
    <row r="120" spans="1:12" s="20" customFormat="1" x14ac:dyDescent="0.25">
      <c r="A120" s="31" t="s">
        <v>138</v>
      </c>
      <c r="B120" s="51" t="s">
        <v>143</v>
      </c>
      <c r="C120" s="32" t="s">
        <v>140</v>
      </c>
      <c r="D120" s="21" t="s">
        <v>304</v>
      </c>
      <c r="E120" s="21" t="s">
        <v>37</v>
      </c>
      <c r="F120" s="21" t="s">
        <v>95</v>
      </c>
      <c r="G120" s="22" t="s">
        <v>38</v>
      </c>
      <c r="H120" s="21" t="s">
        <v>33</v>
      </c>
      <c r="I120" s="21" t="s">
        <v>39</v>
      </c>
      <c r="K120" s="37"/>
      <c r="L120" s="37"/>
    </row>
    <row r="121" spans="1:12" s="20" customFormat="1" x14ac:dyDescent="0.25">
      <c r="A121" s="31" t="s">
        <v>138</v>
      </c>
      <c r="B121" s="51" t="s">
        <v>139</v>
      </c>
      <c r="C121" s="32" t="s">
        <v>141</v>
      </c>
      <c r="D121" s="21" t="s">
        <v>304</v>
      </c>
      <c r="E121" s="21" t="s">
        <v>37</v>
      </c>
      <c r="F121" s="21" t="s">
        <v>144</v>
      </c>
      <c r="G121" s="22" t="s">
        <v>38</v>
      </c>
      <c r="H121" s="21" t="s">
        <v>33</v>
      </c>
      <c r="I121" s="21" t="s">
        <v>39</v>
      </c>
      <c r="K121" s="37"/>
      <c r="L121" s="37"/>
    </row>
    <row r="122" spans="1:12" s="20" customFormat="1" x14ac:dyDescent="0.25">
      <c r="A122" s="31" t="s">
        <v>410</v>
      </c>
      <c r="B122" s="50" t="s">
        <v>361</v>
      </c>
      <c r="C122" s="32"/>
      <c r="D122" s="21" t="s">
        <v>355</v>
      </c>
      <c r="E122" s="21" t="s">
        <v>37</v>
      </c>
      <c r="F122" s="21" t="s">
        <v>358</v>
      </c>
      <c r="G122" s="22" t="s">
        <v>38</v>
      </c>
      <c r="H122" s="21" t="s">
        <v>351</v>
      </c>
      <c r="I122" s="21" t="s">
        <v>41</v>
      </c>
      <c r="K122" s="37"/>
      <c r="L122" s="37"/>
    </row>
    <row r="123" spans="1:12" s="20" customFormat="1" x14ac:dyDescent="0.25">
      <c r="A123" s="31" t="s">
        <v>224</v>
      </c>
      <c r="B123" s="50" t="s">
        <v>225</v>
      </c>
      <c r="C123" s="32"/>
      <c r="D123" s="21" t="s">
        <v>305</v>
      </c>
      <c r="E123" s="21" t="s">
        <v>37</v>
      </c>
      <c r="F123" s="21" t="s">
        <v>147</v>
      </c>
      <c r="G123" s="22" t="s">
        <v>38</v>
      </c>
      <c r="H123" s="21" t="s">
        <v>384</v>
      </c>
      <c r="I123" s="21" t="s">
        <v>41</v>
      </c>
      <c r="K123" s="37"/>
      <c r="L123" s="37"/>
    </row>
    <row r="124" spans="1:12" s="20" customFormat="1" x14ac:dyDescent="0.25">
      <c r="A124" s="31" t="s">
        <v>184</v>
      </c>
      <c r="B124" s="50" t="s">
        <v>387</v>
      </c>
      <c r="C124" s="32" t="s">
        <v>223</v>
      </c>
      <c r="D124" s="21" t="s">
        <v>305</v>
      </c>
      <c r="E124" s="21" t="s">
        <v>37</v>
      </c>
      <c r="F124" s="21" t="s">
        <v>39</v>
      </c>
      <c r="G124" s="24" t="s">
        <v>309</v>
      </c>
      <c r="H124" s="21" t="s">
        <v>33</v>
      </c>
      <c r="I124" s="21" t="s">
        <v>367</v>
      </c>
      <c r="K124" s="37"/>
      <c r="L124" s="37"/>
    </row>
    <row r="125" spans="1:12" s="20" customFormat="1" x14ac:dyDescent="0.25">
      <c r="A125" s="31" t="s">
        <v>184</v>
      </c>
      <c r="B125" s="50" t="s">
        <v>387</v>
      </c>
      <c r="C125" s="32" t="s">
        <v>223</v>
      </c>
      <c r="D125" s="21" t="s">
        <v>305</v>
      </c>
      <c r="E125" s="21" t="s">
        <v>37</v>
      </c>
      <c r="F125" s="21" t="s">
        <v>53</v>
      </c>
      <c r="G125" s="24" t="s">
        <v>309</v>
      </c>
      <c r="H125" s="21" t="s">
        <v>33</v>
      </c>
      <c r="I125" s="21" t="s">
        <v>39</v>
      </c>
      <c r="K125" s="37"/>
      <c r="L125" s="37"/>
    </row>
    <row r="126" spans="1:12" s="20" customFormat="1" x14ac:dyDescent="0.25">
      <c r="A126" s="31" t="s">
        <v>184</v>
      </c>
      <c r="B126" s="50" t="s">
        <v>393</v>
      </c>
      <c r="C126" s="32" t="s">
        <v>223</v>
      </c>
      <c r="D126" s="21" t="s">
        <v>305</v>
      </c>
      <c r="E126" s="21" t="s">
        <v>37</v>
      </c>
      <c r="F126" s="21" t="s">
        <v>397</v>
      </c>
      <c r="G126" s="22" t="s">
        <v>38</v>
      </c>
      <c r="H126" s="21" t="s">
        <v>399</v>
      </c>
      <c r="I126" s="21" t="s">
        <v>403</v>
      </c>
      <c r="K126" s="37"/>
      <c r="L126" s="37"/>
    </row>
    <row r="127" spans="1:12" s="20" customFormat="1" x14ac:dyDescent="0.25">
      <c r="A127" s="31" t="s">
        <v>184</v>
      </c>
      <c r="B127" s="50" t="s">
        <v>393</v>
      </c>
      <c r="C127" s="32" t="s">
        <v>223</v>
      </c>
      <c r="D127" s="21" t="s">
        <v>305</v>
      </c>
      <c r="E127" s="21" t="s">
        <v>37</v>
      </c>
      <c r="F127" s="21" t="s">
        <v>397</v>
      </c>
      <c r="G127" s="22" t="s">
        <v>38</v>
      </c>
      <c r="H127" s="21" t="s">
        <v>399</v>
      </c>
      <c r="I127" s="21" t="s">
        <v>39</v>
      </c>
      <c r="K127" s="37"/>
      <c r="L127" s="37"/>
    </row>
    <row r="128" spans="1:12" s="20" customFormat="1" x14ac:dyDescent="0.25">
      <c r="A128" s="68" t="s">
        <v>112</v>
      </c>
      <c r="B128" s="32" t="s">
        <v>129</v>
      </c>
      <c r="C128" s="32" t="s">
        <v>124</v>
      </c>
      <c r="D128" s="21" t="s">
        <v>308</v>
      </c>
      <c r="E128" s="21" t="s">
        <v>37</v>
      </c>
      <c r="F128" s="21" t="s">
        <v>120</v>
      </c>
      <c r="G128" s="22" t="s">
        <v>38</v>
      </c>
      <c r="H128" s="21" t="s">
        <v>33</v>
      </c>
      <c r="I128" s="21" t="s">
        <v>39</v>
      </c>
      <c r="K128" s="37"/>
      <c r="L128" s="37"/>
    </row>
    <row r="129" spans="1:12" s="20" customFormat="1" x14ac:dyDescent="0.25">
      <c r="A129" s="68" t="s">
        <v>112</v>
      </c>
      <c r="B129" s="32" t="s">
        <v>130</v>
      </c>
      <c r="C129" s="32" t="s">
        <v>124</v>
      </c>
      <c r="D129" s="21" t="s">
        <v>308</v>
      </c>
      <c r="E129" s="21" t="s">
        <v>37</v>
      </c>
      <c r="F129" s="21" t="s">
        <v>120</v>
      </c>
      <c r="G129" s="24" t="s">
        <v>40</v>
      </c>
      <c r="H129" s="21" t="s">
        <v>33</v>
      </c>
      <c r="I129" s="21" t="s">
        <v>39</v>
      </c>
      <c r="K129" s="37"/>
      <c r="L129" s="37"/>
    </row>
    <row r="130" spans="1:12" s="20" customFormat="1" x14ac:dyDescent="0.25">
      <c r="A130" s="68" t="s">
        <v>112</v>
      </c>
      <c r="B130" s="32" t="s">
        <v>122</v>
      </c>
      <c r="C130" s="32" t="s">
        <v>128</v>
      </c>
      <c r="D130" s="21" t="s">
        <v>308</v>
      </c>
      <c r="E130" s="21" t="s">
        <v>37</v>
      </c>
      <c r="F130" s="21" t="s">
        <v>125</v>
      </c>
      <c r="G130" s="22" t="s">
        <v>38</v>
      </c>
      <c r="H130" s="21" t="s">
        <v>33</v>
      </c>
      <c r="I130" s="21" t="s">
        <v>39</v>
      </c>
      <c r="K130" s="37"/>
      <c r="L130" s="37"/>
    </row>
    <row r="131" spans="1:12" s="20" customFormat="1" x14ac:dyDescent="0.25">
      <c r="A131" s="68" t="s">
        <v>112</v>
      </c>
      <c r="B131" s="32" t="s">
        <v>123</v>
      </c>
      <c r="C131" s="32" t="s">
        <v>128</v>
      </c>
      <c r="D131" s="21" t="s">
        <v>308</v>
      </c>
      <c r="E131" s="21" t="s">
        <v>37</v>
      </c>
      <c r="F131" s="21" t="s">
        <v>125</v>
      </c>
      <c r="G131" s="24" t="s">
        <v>40</v>
      </c>
      <c r="H131" s="21" t="s">
        <v>33</v>
      </c>
      <c r="I131" s="21" t="s">
        <v>39</v>
      </c>
      <c r="K131" s="37"/>
      <c r="L131" s="37"/>
    </row>
    <row r="132" spans="1:12" s="20" customFormat="1" x14ac:dyDescent="0.25">
      <c r="A132" s="31" t="s">
        <v>451</v>
      </c>
      <c r="B132" s="32" t="s">
        <v>452</v>
      </c>
      <c r="C132" s="32"/>
      <c r="D132" s="21" t="s">
        <v>308</v>
      </c>
      <c r="E132" s="21" t="s">
        <v>37</v>
      </c>
      <c r="F132" s="21" t="s">
        <v>454</v>
      </c>
      <c r="G132" s="22" t="s">
        <v>38</v>
      </c>
      <c r="H132" s="21" t="s">
        <v>456</v>
      </c>
      <c r="I132" s="21" t="s">
        <v>458</v>
      </c>
      <c r="K132" s="37"/>
      <c r="L132" s="37"/>
    </row>
    <row r="133" spans="1:12" s="20" customFormat="1" x14ac:dyDescent="0.25">
      <c r="A133" s="31" t="s">
        <v>451</v>
      </c>
      <c r="B133" s="32" t="s">
        <v>459</v>
      </c>
      <c r="C133" s="32"/>
      <c r="D133" s="21" t="s">
        <v>308</v>
      </c>
      <c r="E133" s="21" t="s">
        <v>37</v>
      </c>
      <c r="F133" s="21" t="s">
        <v>454</v>
      </c>
      <c r="G133" s="24" t="s">
        <v>460</v>
      </c>
      <c r="H133" s="21" t="s">
        <v>456</v>
      </c>
      <c r="I133" s="21" t="s">
        <v>461</v>
      </c>
      <c r="K133" s="37"/>
      <c r="L133" s="37"/>
    </row>
    <row r="134" spans="1:12" s="20" customFormat="1" x14ac:dyDescent="0.25">
      <c r="A134" s="31" t="s">
        <v>451</v>
      </c>
      <c r="B134" s="32" t="s">
        <v>462</v>
      </c>
      <c r="C134" s="32"/>
      <c r="D134" s="21" t="s">
        <v>308</v>
      </c>
      <c r="E134" s="21" t="s">
        <v>37</v>
      </c>
      <c r="F134" s="21" t="s">
        <v>458</v>
      </c>
      <c r="G134" s="22" t="s">
        <v>38</v>
      </c>
      <c r="H134" s="21" t="s">
        <v>456</v>
      </c>
      <c r="I134" s="21" t="s">
        <v>454</v>
      </c>
      <c r="K134" s="37"/>
      <c r="L134" s="37"/>
    </row>
    <row r="135" spans="1:12" s="20" customFormat="1" x14ac:dyDescent="0.25">
      <c r="A135" s="31" t="s">
        <v>451</v>
      </c>
      <c r="B135" s="32" t="s">
        <v>464</v>
      </c>
      <c r="C135" s="32"/>
      <c r="D135" s="21" t="s">
        <v>308</v>
      </c>
      <c r="E135" s="21" t="s">
        <v>37</v>
      </c>
      <c r="F135" s="21" t="s">
        <v>458</v>
      </c>
      <c r="G135" s="24" t="s">
        <v>460</v>
      </c>
      <c r="H135" s="21" t="s">
        <v>456</v>
      </c>
      <c r="I135" s="21" t="s">
        <v>458</v>
      </c>
      <c r="K135" s="37"/>
      <c r="L135" s="37"/>
    </row>
    <row r="136" spans="1:12" s="20" customFormat="1" x14ac:dyDescent="0.25">
      <c r="A136" s="31" t="s">
        <v>451</v>
      </c>
      <c r="B136" s="32" t="s">
        <v>504</v>
      </c>
      <c r="C136" s="32"/>
      <c r="D136" s="21" t="s">
        <v>308</v>
      </c>
      <c r="E136" s="21" t="s">
        <v>37</v>
      </c>
      <c r="F136" s="21" t="s">
        <v>506</v>
      </c>
      <c r="G136" s="22" t="s">
        <v>38</v>
      </c>
      <c r="H136" s="21" t="s">
        <v>33</v>
      </c>
      <c r="I136" s="21" t="s">
        <v>507</v>
      </c>
      <c r="K136" s="37"/>
      <c r="L136" s="37"/>
    </row>
    <row r="137" spans="1:12" s="20" customFormat="1" x14ac:dyDescent="0.25">
      <c r="A137" s="60"/>
      <c r="B137" s="61"/>
      <c r="C137" s="62"/>
      <c r="D137" s="63"/>
      <c r="E137" s="63"/>
      <c r="F137" s="63"/>
      <c r="G137" s="64"/>
      <c r="H137" s="63"/>
      <c r="I137" s="63"/>
      <c r="K137" s="37"/>
      <c r="L137" s="37"/>
    </row>
    <row r="138" spans="1:12" s="20" customFormat="1" x14ac:dyDescent="0.25">
      <c r="A138" s="60"/>
      <c r="B138" s="61"/>
      <c r="C138" s="62"/>
      <c r="D138" s="63"/>
      <c r="E138" s="63"/>
      <c r="F138" s="63"/>
      <c r="G138" s="64"/>
      <c r="H138" s="63"/>
      <c r="I138" s="63"/>
      <c r="K138" s="37"/>
      <c r="L138" s="37"/>
    </row>
    <row r="139" spans="1:12" s="20" customFormat="1" x14ac:dyDescent="0.25">
      <c r="A139" s="60"/>
      <c r="B139" s="61"/>
      <c r="C139" s="62"/>
      <c r="D139" s="63"/>
      <c r="E139" s="63"/>
      <c r="F139" s="63"/>
      <c r="G139" s="64"/>
      <c r="H139" s="63"/>
      <c r="I139" s="63"/>
      <c r="K139" s="37"/>
      <c r="L139" s="37"/>
    </row>
    <row r="140" spans="1:12" s="20" customFormat="1" x14ac:dyDescent="0.25">
      <c r="A140" s="60"/>
      <c r="B140" s="61"/>
      <c r="C140" s="62"/>
      <c r="D140" s="63"/>
      <c r="E140" s="63"/>
      <c r="F140" s="63"/>
      <c r="G140" s="64"/>
      <c r="H140" s="63"/>
      <c r="I140" s="63"/>
      <c r="K140" s="37"/>
      <c r="L140" s="37"/>
    </row>
    <row r="141" spans="1:12" ht="30" x14ac:dyDescent="0.25">
      <c r="A141" s="75"/>
      <c r="B141" s="76"/>
      <c r="C141" s="75"/>
      <c r="D141" s="83" t="s">
        <v>18</v>
      </c>
      <c r="E141" s="83"/>
      <c r="F141" s="83"/>
      <c r="G141" s="83"/>
      <c r="H141" s="72"/>
      <c r="I141" s="77"/>
      <c r="K141" s="20"/>
      <c r="L141" s="20"/>
    </row>
    <row r="142" spans="1:12" x14ac:dyDescent="0.25">
      <c r="A142" s="20"/>
      <c r="B142" s="44"/>
      <c r="C142" s="20"/>
      <c r="D142" s="20"/>
      <c r="E142" s="20"/>
      <c r="F142" s="30"/>
      <c r="G142" s="30"/>
      <c r="H142" s="30"/>
      <c r="I142" s="39"/>
    </row>
  </sheetData>
  <protectedRanges>
    <protectedRange password="EBC5" sqref="I117:I121 I3:I31" name="範圍1_3_3_1_1_1_2_1_1_2"/>
    <protectedRange password="EBC5" sqref="I65 I113:I114 I96:I98 I47:I50 I122:I127 I137:I140 I55:I63" name="範圍1_3_3_1_1_1_2_1_1_2_2_1"/>
    <protectedRange password="EBC5" sqref="I42" name="範圍1_3_3_1_1_1_2_1_1_2_2"/>
    <protectedRange password="EBC5" sqref="I43:I46" name="範圍1_3_3_1_1_1_2_1_1_2_1_2_1"/>
    <protectedRange password="EBC5" sqref="I32:I36 I51:I52 I64 I128:I131" name="範圍1_3_3_1_1_1_2_1_1_2_1"/>
    <protectedRange password="EBC5" sqref="I39:I41" name="範圍1_3_3_1_1_1_2_1_1_2_1_1"/>
    <protectedRange password="EBC5" sqref="I101:I112 I68:I95" name="範圍1_3_3_1_1_1_2_1_1_2_1_1_1_1"/>
    <protectedRange password="EBC5" sqref="I132:I135" name="範圍1_3_3_1_1_1_2_1_1_2_3"/>
    <protectedRange password="EBC5" sqref="I136" name="範圍1_3_3_1_1_1_2_1_1_2_4"/>
  </protectedRanges>
  <mergeCells count="11">
    <mergeCell ref="L68:P68"/>
    <mergeCell ref="L71:P71"/>
    <mergeCell ref="L74:P74"/>
    <mergeCell ref="L75:P75"/>
    <mergeCell ref="A99:C99"/>
    <mergeCell ref="A1:C1"/>
    <mergeCell ref="A53:C53"/>
    <mergeCell ref="A66:C66"/>
    <mergeCell ref="D141:G141"/>
    <mergeCell ref="A37:C37"/>
    <mergeCell ref="A115:C115"/>
  </mergeCells>
  <phoneticPr fontId="2" type="noConversion"/>
  <pageMargins left="0.7" right="0.7" top="0.75" bottom="0.75" header="0.3" footer="0.3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2"/>
  <sheetViews>
    <sheetView workbookViewId="0">
      <selection activeCell="A16" sqref="A8:A16"/>
    </sheetView>
  </sheetViews>
  <sheetFormatPr defaultRowHeight="16.5" x14ac:dyDescent="0.25"/>
  <cols>
    <col min="1" max="1" width="13.5" customWidth="1"/>
    <col min="2" max="2" width="17.75" customWidth="1"/>
  </cols>
  <sheetData>
    <row r="1" spans="1:2" x14ac:dyDescent="0.25">
      <c r="A1" s="25" t="s">
        <v>19</v>
      </c>
      <c r="B1" s="26">
        <v>43661.398055555554</v>
      </c>
    </row>
    <row r="2" spans="1:2" x14ac:dyDescent="0.25">
      <c r="A2" s="25" t="s">
        <v>20</v>
      </c>
      <c r="B2" s="26">
        <v>39630.438530092593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8"/>
  <sheetViews>
    <sheetView workbookViewId="0">
      <selection activeCell="A3" sqref="A3"/>
    </sheetView>
  </sheetViews>
  <sheetFormatPr defaultRowHeight="16.5" x14ac:dyDescent="0.25"/>
  <cols>
    <col min="1" max="1" width="34.5" bestFit="1" customWidth="1"/>
    <col min="2" max="2" width="12.75" customWidth="1"/>
  </cols>
  <sheetData>
    <row r="1" spans="1:2" ht="27" customHeight="1" x14ac:dyDescent="0.25">
      <c r="A1" s="28" t="s">
        <v>22</v>
      </c>
      <c r="B1" s="29" t="s">
        <v>27</v>
      </c>
    </row>
    <row r="2" spans="1:2" ht="27" customHeight="1" x14ac:dyDescent="0.25">
      <c r="A2" s="38" t="s">
        <v>231</v>
      </c>
      <c r="B2" s="27" t="s">
        <v>24</v>
      </c>
    </row>
    <row r="3" spans="1:2" ht="20.25" x14ac:dyDescent="0.25">
      <c r="A3" s="70" t="s">
        <v>408</v>
      </c>
      <c r="B3" s="27" t="s">
        <v>24</v>
      </c>
    </row>
    <row r="4" spans="1:2" ht="20.25" x14ac:dyDescent="0.25">
      <c r="A4" s="38" t="s">
        <v>232</v>
      </c>
      <c r="B4" s="27" t="s">
        <v>24</v>
      </c>
    </row>
    <row r="5" spans="1:2" ht="20.25" x14ac:dyDescent="0.25">
      <c r="A5" s="38" t="s">
        <v>235</v>
      </c>
      <c r="B5" s="27" t="s">
        <v>296</v>
      </c>
    </row>
    <row r="6" spans="1:2" ht="20.25" x14ac:dyDescent="0.25">
      <c r="A6" s="38" t="s">
        <v>365</v>
      </c>
      <c r="B6" s="27" t="s">
        <v>366</v>
      </c>
    </row>
    <row r="7" spans="1:2" ht="20.25" x14ac:dyDescent="0.25">
      <c r="A7" s="38" t="s">
        <v>374</v>
      </c>
      <c r="B7" s="27" t="s">
        <v>296</v>
      </c>
    </row>
    <row r="8" spans="1:2" ht="20.25" x14ac:dyDescent="0.25">
      <c r="A8" s="12"/>
      <c r="B8" s="1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17"/>
  <sheetViews>
    <sheetView workbookViewId="0">
      <selection activeCell="A25" sqref="A25"/>
    </sheetView>
  </sheetViews>
  <sheetFormatPr defaultRowHeight="16.5" x14ac:dyDescent="0.25"/>
  <cols>
    <col min="1" max="1" width="34.5" bestFit="1" customWidth="1"/>
    <col min="2" max="2" width="19.5" customWidth="1"/>
  </cols>
  <sheetData>
    <row r="1" spans="1:2" ht="20.25" x14ac:dyDescent="0.25">
      <c r="A1" s="28" t="s">
        <v>30</v>
      </c>
      <c r="B1" s="29" t="s">
        <v>31</v>
      </c>
    </row>
    <row r="2" spans="1:2" ht="20.25" x14ac:dyDescent="0.25">
      <c r="A2" s="41" t="s">
        <v>35</v>
      </c>
      <c r="B2" s="42" t="s">
        <v>32</v>
      </c>
    </row>
    <row r="3" spans="1:2" ht="20.25" x14ac:dyDescent="0.25">
      <c r="A3" s="41" t="s">
        <v>368</v>
      </c>
      <c r="B3" s="42" t="s">
        <v>369</v>
      </c>
    </row>
    <row r="4" spans="1:2" ht="20.25" x14ac:dyDescent="0.25">
      <c r="A4" s="41" t="s">
        <v>258</v>
      </c>
      <c r="B4" s="42" t="s">
        <v>32</v>
      </c>
    </row>
    <row r="5" spans="1:2" ht="20.25" x14ac:dyDescent="0.25">
      <c r="A5" s="41" t="s">
        <v>42</v>
      </c>
      <c r="B5" s="42" t="s">
        <v>32</v>
      </c>
    </row>
    <row r="6" spans="1:2" ht="20.25" x14ac:dyDescent="0.25">
      <c r="A6" s="41" t="s">
        <v>370</v>
      </c>
      <c r="B6" s="42" t="s">
        <v>32</v>
      </c>
    </row>
    <row r="7" spans="1:2" ht="20.25" x14ac:dyDescent="0.25">
      <c r="A7" s="41" t="s">
        <v>371</v>
      </c>
      <c r="B7" s="42" t="s">
        <v>32</v>
      </c>
    </row>
    <row r="8" spans="1:2" ht="20.25" x14ac:dyDescent="0.25">
      <c r="A8" s="41" t="s">
        <v>259</v>
      </c>
      <c r="B8" s="42" t="s">
        <v>32</v>
      </c>
    </row>
    <row r="9" spans="1:2" ht="20.25" x14ac:dyDescent="0.25">
      <c r="A9" s="41" t="s">
        <v>260</v>
      </c>
      <c r="B9" s="42" t="s">
        <v>32</v>
      </c>
    </row>
    <row r="10" spans="1:2" ht="20.25" x14ac:dyDescent="0.25">
      <c r="A10" s="41" t="s">
        <v>36</v>
      </c>
      <c r="B10" s="42" t="s">
        <v>32</v>
      </c>
    </row>
    <row r="11" spans="1:2" ht="20.25" x14ac:dyDescent="0.25">
      <c r="A11" s="41" t="s">
        <v>261</v>
      </c>
      <c r="B11" s="42" t="s">
        <v>32</v>
      </c>
    </row>
    <row r="12" spans="1:2" ht="20.25" x14ac:dyDescent="0.25">
      <c r="A12" s="41" t="s">
        <v>262</v>
      </c>
      <c r="B12" s="42" t="s">
        <v>32</v>
      </c>
    </row>
    <row r="13" spans="1:2" ht="20.25" x14ac:dyDescent="0.25">
      <c r="A13" s="41" t="s">
        <v>263</v>
      </c>
      <c r="B13" s="42" t="s">
        <v>32</v>
      </c>
    </row>
    <row r="14" spans="1:2" ht="20.25" x14ac:dyDescent="0.25">
      <c r="A14" s="41" t="s">
        <v>264</v>
      </c>
      <c r="B14" s="42" t="s">
        <v>32</v>
      </c>
    </row>
    <row r="15" spans="1:2" ht="20.25" x14ac:dyDescent="0.25">
      <c r="A15" s="41" t="s">
        <v>265</v>
      </c>
      <c r="B15" s="42" t="s">
        <v>32</v>
      </c>
    </row>
    <row r="16" spans="1:2" ht="20.25" x14ac:dyDescent="0.25">
      <c r="A16" s="41" t="s">
        <v>266</v>
      </c>
      <c r="B16" s="42" t="s">
        <v>32</v>
      </c>
    </row>
    <row r="17" spans="1:2" ht="20.25" x14ac:dyDescent="0.25">
      <c r="A17" s="41" t="s">
        <v>267</v>
      </c>
      <c r="B17" s="42" t="s">
        <v>32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Main</vt:lpstr>
      <vt:lpstr>480_60P</vt:lpstr>
      <vt:lpstr>576_50P</vt:lpstr>
      <vt:lpstr>720_50P</vt:lpstr>
      <vt:lpstr>720_60P</vt:lpstr>
      <vt:lpstr>1080_24P</vt:lpstr>
      <vt:lpstr>1080_25P</vt:lpstr>
      <vt:lpstr>1080_30P</vt:lpstr>
      <vt:lpstr>1080_50P</vt:lpstr>
      <vt:lpstr>1080_60P</vt:lpstr>
      <vt:lpstr>1024x768_60P</vt:lpstr>
      <vt:lpstr>1280x800_60P</vt:lpstr>
      <vt:lpstr>1280x1024_60P</vt:lpstr>
      <vt:lpstr>1366x768_60P</vt:lpstr>
      <vt:lpstr>1440x900_60P</vt:lpstr>
      <vt:lpstr>1680x1050_60P</vt:lpstr>
      <vt:lpstr>1600x1200_60P</vt:lpstr>
      <vt:lpstr>EndOfSheet</vt:lpstr>
      <vt:lpstr>IP_Type</vt:lpstr>
      <vt:lpstr>TimingSupport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Icebox Sung(宋秉修)</dc:creator>
  <cp:lastModifiedBy>Ryan Hsiao (蕭昊永)</cp:lastModifiedBy>
  <dcterms:created xsi:type="dcterms:W3CDTF">2014-05-30T01:21:02Z</dcterms:created>
  <dcterms:modified xsi:type="dcterms:W3CDTF">2019-07-15T01:33:18Z</dcterms:modified>
</cp:coreProperties>
</file>